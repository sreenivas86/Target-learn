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eenivasReddyDaram\Target-learn\documents\plan\"/>
    </mc:Choice>
  </mc:AlternateContent>
  <xr:revisionPtr revIDLastSave="0" documentId="13_ncr:1_{3606E008-A6C6-482D-B5A0-8AE983F3372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ily Tracker" sheetId="1" r:id="rId1"/>
    <sheet name="Dashboard" sheetId="2" r:id="rId2"/>
    <sheet name="Topic Checklist" sheetId="3" r:id="rId3"/>
    <sheet name="Instructions" sheetId="4" r:id="rId4"/>
  </sheets>
  <definedNames>
    <definedName name="_xlnm._FilterDatabase" localSheetId="0" hidden="1">'Daily Tracker'!$A$1:$N$91</definedName>
    <definedName name="_xlnm._FilterDatabase" localSheetId="2" hidden="1">'Topic Checklist'!$A$1:$H$41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9" i="2" s="1"/>
</calcChain>
</file>

<file path=xl/sharedStrings.xml><?xml version="1.0" encoding="utf-8"?>
<sst xmlns="http://schemas.openxmlformats.org/spreadsheetml/2006/main" count="1049" uniqueCount="372">
  <si>
    <t>Day</t>
  </si>
  <si>
    <t>Week</t>
  </si>
  <si>
    <t>Phase</t>
  </si>
  <si>
    <t>DSA Focus</t>
  </si>
  <si>
    <t>Python Focus</t>
  </si>
  <si>
    <t>Backend / SQL Focus</t>
  </si>
  <si>
    <t>LLD / HLD / CS Focus</t>
  </si>
  <si>
    <t>Project / Interview Focus</t>
  </si>
  <si>
    <t>Daily Target</t>
  </si>
  <si>
    <t>Status</t>
  </si>
  <si>
    <t>Hours</t>
  </si>
  <si>
    <t>Problems Solved</t>
  </si>
  <si>
    <t>Notes</t>
  </si>
  <si>
    <t>Foundation</t>
  </si>
  <si>
    <t>Time/space complexity + array traversal</t>
  </si>
  <si>
    <t>Lists, tuples, sets, dicts</t>
  </si>
  <si>
    <t>SQL SELECT, WHERE, ORDER BY</t>
  </si>
  <si>
    <t>—</t>
  </si>
  <si>
    <t>Setup study environment</t>
  </si>
  <si>
    <t>3 DSA problems</t>
  </si>
  <si>
    <t>Not Started</t>
  </si>
  <si>
    <t>Two pointers + Reverse Array + Move Zeroes</t>
  </si>
  <si>
    <t>Comprehensions, enumerate, zip</t>
  </si>
  <si>
    <t>LIMIT, DISTINCT, BETWEEN, IN</t>
  </si>
  <si>
    <t>Remove Duplicates from Sorted Array</t>
  </si>
  <si>
    <t>Set operations</t>
  </si>
  <si>
    <t>COUNT, SUM, AVG, MIN/MAX</t>
  </si>
  <si>
    <t>Prefix sum + range sum</t>
  </si>
  <si>
    <t>Dictionary methods</t>
  </si>
  <si>
    <t>GROUP BY, HAVING</t>
  </si>
  <si>
    <t>Prefix/suffix + Product Except Self</t>
  </si>
  <si>
    <t>Frequency counting</t>
  </si>
  <si>
    <t>INNER JOIN</t>
  </si>
  <si>
    <t>HashMap + Two Sum + Valid Anagram</t>
  </si>
  <si>
    <t>Functions + type hints</t>
  </si>
  <si>
    <t>LEFT JOIN</t>
  </si>
  <si>
    <t>Weekly revision + mixed problems</t>
  </si>
  <si>
    <t>Python review</t>
  </si>
  <si>
    <t>SQL review</t>
  </si>
  <si>
    <t>Weekly test</t>
  </si>
  <si>
    <t>5 mixed DSA</t>
  </si>
  <si>
    <t>HashMap patterns</t>
  </si>
  <si>
    <t>Counter, defaultdict</t>
  </si>
  <si>
    <t>SQL joins revision</t>
  </si>
  <si>
    <t>3–4 DSA</t>
  </si>
  <si>
    <t>String manipulation + palindrome</t>
  </si>
  <si>
    <t>String methods</t>
  </si>
  <si>
    <t>GROUP BY + HAVING revision</t>
  </si>
  <si>
    <t>3 DSA</t>
  </si>
  <si>
    <t>Sliding window introduction</t>
  </si>
  <si>
    <t>String/list practice</t>
  </si>
  <si>
    <t>SQL practice</t>
  </si>
  <si>
    <t>Longest Substring Without Repeating</t>
  </si>
  <si>
    <t>Collections review</t>
  </si>
  <si>
    <t>SQL joins</t>
  </si>
  <si>
    <t>Permutation in String + Find Anagrams</t>
  </si>
  <si>
    <t>Counter/defaultdict</t>
  </si>
  <si>
    <t>Mixed hashing + sliding window</t>
  </si>
  <si>
    <t>Mutable vs immutable, is vs ==</t>
  </si>
  <si>
    <t>SQL interview questions</t>
  </si>
  <si>
    <t>3 DSA + Python Qs</t>
  </si>
  <si>
    <t>Python test</t>
  </si>
  <si>
    <t>SQL test</t>
  </si>
  <si>
    <t>Review mistakes</t>
  </si>
  <si>
    <t>4 DSA / 10 Python / 5 SQL</t>
  </si>
  <si>
    <t>Valid Parentheses + Min Stack</t>
  </si>
  <si>
    <t>List as stack</t>
  </si>
  <si>
    <t>SQL revision</t>
  </si>
  <si>
    <t>Stack concepts</t>
  </si>
  <si>
    <t>Queue/deque + BFS concept</t>
  </si>
  <si>
    <t>deque</t>
  </si>
  <si>
    <t>Queue concepts</t>
  </si>
  <si>
    <t>Binary Search</t>
  </si>
  <si>
    <t>Python Big-O</t>
  </si>
  <si>
    <t>Binary search reasoning</t>
  </si>
  <si>
    <t>Binary Search variations</t>
  </si>
  <si>
    <t>Functions review</t>
  </si>
  <si>
    <t>Mixed stack/search</t>
  </si>
  <si>
    <t>List vs tuple/set/dict</t>
  </si>
  <si>
    <t>Advanced SQL</t>
  </si>
  <si>
    <t>Mixed DSA</t>
  </si>
  <si>
    <t>Python collections Big-O</t>
  </si>
  <si>
    <t>Subqueries, CASE, COALESCE</t>
  </si>
  <si>
    <t>Weekly revision</t>
  </si>
  <si>
    <t>Python revision</t>
  </si>
  <si>
    <t>Reverse Linked List</t>
  </si>
  <si>
    <t>OOP basics</t>
  </si>
  <si>
    <t>Linked list design</t>
  </si>
  <si>
    <t>Cycle + Middle Linked List</t>
  </si>
  <si>
    <t>Classes/objects</t>
  </si>
  <si>
    <t>Fast/slow pointers</t>
  </si>
  <si>
    <t>Merge Two Sorted Lists + Remove Nth Node</t>
  </si>
  <si>
    <t>Constructors</t>
  </si>
  <si>
    <t>Linked list patterns</t>
  </si>
  <si>
    <t>Recursion fundamentals</t>
  </si>
  <si>
    <t>Recursion in Python</t>
  </si>
  <si>
    <t>Call stack</t>
  </si>
  <si>
    <t>Mixed linked list</t>
  </si>
  <si>
    <t>Python OOP</t>
  </si>
  <si>
    <t>OOP fundamentals</t>
  </si>
  <si>
    <t>Mixed recursion</t>
  </si>
  <si>
    <t>Inheritance, polymorphism, encapsulation</t>
  </si>
  <si>
    <t>OOP interview questions</t>
  </si>
  <si>
    <t>Month 1 mixed test</t>
  </si>
  <si>
    <t>OOP test</t>
  </si>
  <si>
    <t>Mock interview</t>
  </si>
  <si>
    <t>90-min DSA + 30/30/30</t>
  </si>
  <si>
    <t>Engineering</t>
  </si>
  <si>
    <t>Python memory model</t>
  </si>
  <si>
    <t>Memory: stack/heap/references</t>
  </si>
  <si>
    <t>2 DSA + Python</t>
  </si>
  <si>
    <t>Iterables and iterators</t>
  </si>
  <si>
    <t>Iterator internals</t>
  </si>
  <si>
    <t>Generators + yield</t>
  </si>
  <si>
    <t>Lazy evaluation</t>
  </si>
  <si>
    <t>Decorators</t>
  </si>
  <si>
    <t>Decorator use cases</t>
  </si>
  <si>
    <t>Build 2 decorators</t>
  </si>
  <si>
    <t>Context managers</t>
  </si>
  <si>
    <t>with / __enter__ / __exit__</t>
  </si>
  <si>
    <t>Build context manager</t>
  </si>
  <si>
    <t>Exceptions + logging</t>
  </si>
  <si>
    <t>Error handling</t>
  </si>
  <si>
    <t>Logging practice</t>
  </si>
  <si>
    <t>Python interview test</t>
  </si>
  <si>
    <t>Python interview Qs</t>
  </si>
  <si>
    <t>Review weak areas</t>
  </si>
  <si>
    <t>3 DSA + test</t>
  </si>
  <si>
    <t>FastAPI basics</t>
  </si>
  <si>
    <t>FastAPI routes + CRUD</t>
  </si>
  <si>
    <t>REST basics</t>
  </si>
  <si>
    <t>Start backend project</t>
  </si>
  <si>
    <t>2 DSA + API</t>
  </si>
  <si>
    <t>Pydantic</t>
  </si>
  <si>
    <t>Request/response validation</t>
  </si>
  <si>
    <t>API contracts</t>
  </si>
  <si>
    <t>Project models</t>
  </si>
  <si>
    <t>SQLAlchemy</t>
  </si>
  <si>
    <t>PostgreSQL connection + CRUD</t>
  </si>
  <si>
    <t>DB integration</t>
  </si>
  <si>
    <t>Project persistence</t>
  </si>
  <si>
    <t>2 DSA + DB</t>
  </si>
  <si>
    <t>Mixed</t>
  </si>
  <si>
    <t>JWT + password hashing</t>
  </si>
  <si>
    <t>Authentication/authorization</t>
  </si>
  <si>
    <t>Project auth</t>
  </si>
  <si>
    <t>2 DSA + auth</t>
  </si>
  <si>
    <t>Pagination/filtering/sorting</t>
  </si>
  <si>
    <t>REST API design</t>
  </si>
  <si>
    <t>Project API polish</t>
  </si>
  <si>
    <t>pytest</t>
  </si>
  <si>
    <t>Unit/integration/API tests</t>
  </si>
  <si>
    <t>Testing concepts</t>
  </si>
  <si>
    <t>Project tests</t>
  </si>
  <si>
    <t>2 DSA + tests</t>
  </si>
  <si>
    <t>FastAPI revision</t>
  </si>
  <si>
    <t>Backend review</t>
  </si>
  <si>
    <t>Project milestone</t>
  </si>
  <si>
    <t>2 DSA + project</t>
  </si>
  <si>
    <t>Keys + normalization</t>
  </si>
  <si>
    <t>DBMS fundamentals</t>
  </si>
  <si>
    <t>2 DSA + SQL</t>
  </si>
  <si>
    <t>Indexes + query plans</t>
  </si>
  <si>
    <t>Database performance</t>
  </si>
  <si>
    <t>Transactions + ACID</t>
  </si>
  <si>
    <t>Transaction design</t>
  </si>
  <si>
    <t>Isolation levels</t>
  </si>
  <si>
    <t>Concurrency in DBs</t>
  </si>
  <si>
    <t>Window functions</t>
  </si>
  <si>
    <t>EXPLAIN + optimization</t>
  </si>
  <si>
    <t>DB performance interview</t>
  </si>
  <si>
    <t>15–20 SQL problems</t>
  </si>
  <si>
    <t>DBMS interview</t>
  </si>
  <si>
    <t>2 DSA + SQL test</t>
  </si>
  <si>
    <t>OOP revision</t>
  </si>
  <si>
    <t>SOLID principles</t>
  </si>
  <si>
    <t>2 DSA + SOLID</t>
  </si>
  <si>
    <t>Factory, Strategy, Observer, Builder</t>
  </si>
  <si>
    <t>Pattern exercises</t>
  </si>
  <si>
    <t>2 DSA + patterns</t>
  </si>
  <si>
    <t>LLD: Parking Lot</t>
  </si>
  <si>
    <t>Design classes</t>
  </si>
  <si>
    <t>2 DSA + LLD</t>
  </si>
  <si>
    <t>OOP/DSA mix</t>
  </si>
  <si>
    <t>OOP practice</t>
  </si>
  <si>
    <t>LLD: Library Management</t>
  </si>
  <si>
    <t>Design + code</t>
  </si>
  <si>
    <t>LLD: ATM</t>
  </si>
  <si>
    <t>LLD: Food Delivery</t>
  </si>
  <si>
    <t>Python OOP revision</t>
  </si>
  <si>
    <t>LLD mock</t>
  </si>
  <si>
    <t>1 LLD + 2 DSA</t>
  </si>
  <si>
    <t>System Design</t>
  </si>
  <si>
    <t>Scalability, availability, latency, throughput</t>
  </si>
  <si>
    <t>2 DSA + HLD</t>
  </si>
  <si>
    <t>Load balancer + horizontal scaling</t>
  </si>
  <si>
    <t>Architecture practice</t>
  </si>
  <si>
    <t>Redis + caching</t>
  </si>
  <si>
    <t>Cache-aside + TTL</t>
  </si>
  <si>
    <t>Add Redis to project</t>
  </si>
  <si>
    <t>2 DSA + Redis</t>
  </si>
  <si>
    <t>Replication + read replicas + sharding</t>
  </si>
  <si>
    <t>DB scaling</t>
  </si>
  <si>
    <t>Kafka fundamentals</t>
  </si>
  <si>
    <t>Producer/topic/partition/consumer</t>
  </si>
  <si>
    <t>Add Kafka to project</t>
  </si>
  <si>
    <t>2 DSA + Kafka</t>
  </si>
  <si>
    <t>CAP + consistency/availability</t>
  </si>
  <si>
    <t>Distributed systems notes</t>
  </si>
  <si>
    <t>HLD practice</t>
  </si>
  <si>
    <t>URL Shortener</t>
  </si>
  <si>
    <t>Complete design</t>
  </si>
  <si>
    <t>1 HLD + 2 DSA</t>
  </si>
  <si>
    <t>Trees/graphs</t>
  </si>
  <si>
    <t>Chat System</t>
  </si>
  <si>
    <t>Instagram Feed</t>
  </si>
  <si>
    <t>YouTube</t>
  </si>
  <si>
    <t>Uber</t>
  </si>
  <si>
    <t>Notification System</t>
  </si>
  <si>
    <t>Rate Limiter</t>
  </si>
  <si>
    <t>System design mock</t>
  </si>
  <si>
    <t>CS Fundamentals</t>
  </si>
  <si>
    <t>OS: process/thread/concurrency</t>
  </si>
  <si>
    <t>2 DSA + OS</t>
  </si>
  <si>
    <t>Mutex/semaphore/deadlock/race condition</t>
  </si>
  <si>
    <t>TCP/UDP/IP/ports</t>
  </si>
  <si>
    <t>2 DSA + networking</t>
  </si>
  <si>
    <t>HTTP/HTTPS/TLS/REST</t>
  </si>
  <si>
    <t>Networking interview</t>
  </si>
  <si>
    <t>DNS</t>
  </si>
  <si>
    <t>Trace request flow</t>
  </si>
  <si>
    <t>2 DSA + DNS</t>
  </si>
  <si>
    <t>What happens when typing google.com?</t>
  </si>
  <si>
    <t>Explain end-to-end</t>
  </si>
  <si>
    <t>2 DSA + explanation</t>
  </si>
  <si>
    <t>CS mock</t>
  </si>
  <si>
    <t>2 DSA + CS mock</t>
  </si>
  <si>
    <t>DSA Intensive</t>
  </si>
  <si>
    <t>Trees: DFS/BFS</t>
  </si>
  <si>
    <t>Tree concepts</t>
  </si>
  <si>
    <t>BST + traversal + height</t>
  </si>
  <si>
    <t>BST concepts</t>
  </si>
  <si>
    <t>Heap + priority queue</t>
  </si>
  <si>
    <t>Heap concepts</t>
  </si>
  <si>
    <t>Graphs: BFS/DFS</t>
  </si>
  <si>
    <t>Graph concepts</t>
  </si>
  <si>
    <t>Backtracking: subsets/permutations</t>
  </si>
  <si>
    <t>Recursion/backtracking</t>
  </si>
  <si>
    <t>DP: memoization/tabulation/1D</t>
  </si>
  <si>
    <t>DP concepts</t>
  </si>
  <si>
    <t>Mixed DSA test</t>
  </si>
  <si>
    <t>HLD/LLD revision</t>
  </si>
  <si>
    <t>Test + error log</t>
  </si>
  <si>
    <t>4 problems / 2 hr</t>
  </si>
  <si>
    <t>Interview</t>
  </si>
  <si>
    <t>5 medium problems</t>
  </si>
  <si>
    <t>20 Python questions</t>
  </si>
  <si>
    <t>10 SQL questions</t>
  </si>
  <si>
    <t>LLD + HLD revision</t>
  </si>
  <si>
    <t>Interview preparation</t>
  </si>
  <si>
    <t>5 DSA + Qs</t>
  </si>
  <si>
    <t>Project discussion</t>
  </si>
  <si>
    <t>LLD + HLD</t>
  </si>
  <si>
    <t>Explain architecture deeply</t>
  </si>
  <si>
    <t>1 LLD + 1 HLD</t>
  </si>
  <si>
    <t>Mock DSA</t>
  </si>
  <si>
    <t>Python interview</t>
  </si>
  <si>
    <t>SQL interview</t>
  </si>
  <si>
    <t>LLD interview</t>
  </si>
  <si>
    <t>Mock interview #1</t>
  </si>
  <si>
    <t>Full mock</t>
  </si>
  <si>
    <t>Fix weakest DSA areas</t>
  </si>
  <si>
    <t>Fix weakest Python areas</t>
  </si>
  <si>
    <t>Fix weakest SQL areas</t>
  </si>
  <si>
    <t>Fix weakest design/CS areas</t>
  </si>
  <si>
    <t>Target weaknesses</t>
  </si>
  <si>
    <t>Focused revision</t>
  </si>
  <si>
    <t>System design</t>
  </si>
  <si>
    <t>Mock interview #2</t>
  </si>
  <si>
    <t>Final</t>
  </si>
  <si>
    <t>Final mixed revision</t>
  </si>
  <si>
    <t>Python cheat sheet</t>
  </si>
  <si>
    <t>SQL cheat sheet</t>
  </si>
  <si>
    <t>LLD/HLD/OS/networking revision</t>
  </si>
  <si>
    <t>Resume + GitHub + applications</t>
  </si>
  <si>
    <t>Final review + apply</t>
  </si>
  <si>
    <t>Metric</t>
  </si>
  <si>
    <t>Value</t>
  </si>
  <si>
    <t>Total Days</t>
  </si>
  <si>
    <t>Completed Days</t>
  </si>
  <si>
    <t>In Progress</t>
  </si>
  <si>
    <t>Total Hours</t>
  </si>
  <si>
    <t>DSA Problems Solved</t>
  </si>
  <si>
    <t>Completion %</t>
  </si>
  <si>
    <t>Target DSA Problems</t>
  </si>
  <si>
    <t>Target Hours</t>
  </si>
  <si>
    <t>Target Mock Interviews</t>
  </si>
  <si>
    <t>How to use</t>
  </si>
  <si>
    <t>Update Status, Hours and Problems Solved every day on Daily Tracker.</t>
  </si>
  <si>
    <t>Status options</t>
  </si>
  <si>
    <t>Not Started / In Progress / Done / Skipped</t>
  </si>
  <si>
    <t>Goal</t>
  </si>
  <si>
    <t>Reach interview-ready level by Day 90; start applications around Day 45–60.</t>
  </si>
  <si>
    <t>Category</t>
  </si>
  <si>
    <t>Topic</t>
  </si>
  <si>
    <t>Priority</t>
  </si>
  <si>
    <t>Learned?</t>
  </si>
  <si>
    <t>Confidence 1-5</t>
  </si>
  <si>
    <t>Revision 1</t>
  </si>
  <si>
    <t>Revision 2</t>
  </si>
  <si>
    <t>Interview Ready?</t>
  </si>
  <si>
    <t>DSA</t>
  </si>
  <si>
    <t>Arrays</t>
  </si>
  <si>
    <t>High</t>
  </si>
  <si>
    <t>No</t>
  </si>
  <si>
    <t>HashMap/Set</t>
  </si>
  <si>
    <t>Two Pointers</t>
  </si>
  <si>
    <t>Sliding Window</t>
  </si>
  <si>
    <t>Prefix/Suffix</t>
  </si>
  <si>
    <t>Stack/Queue</t>
  </si>
  <si>
    <t>Linked List</t>
  </si>
  <si>
    <t>Trees</t>
  </si>
  <si>
    <t>Heap</t>
  </si>
  <si>
    <t>Graphs</t>
  </si>
  <si>
    <t>Backtracking</t>
  </si>
  <si>
    <t>Medium</t>
  </si>
  <si>
    <t>Dynamic Programming</t>
  </si>
  <si>
    <t>Python</t>
  </si>
  <si>
    <t>OOP</t>
  </si>
  <si>
    <t>Iterators/Generators</t>
  </si>
  <si>
    <t>Context Managers</t>
  </si>
  <si>
    <t>Memory/GC</t>
  </si>
  <si>
    <t>Backend</t>
  </si>
  <si>
    <t>FastAPI</t>
  </si>
  <si>
    <t>REST API Design</t>
  </si>
  <si>
    <t>JWT/Auth</t>
  </si>
  <si>
    <t>Database</t>
  </si>
  <si>
    <t>PostgreSQL</t>
  </si>
  <si>
    <t>Indexes</t>
  </si>
  <si>
    <t>Transactions/ACID</t>
  </si>
  <si>
    <t>SQL Window Functions</t>
  </si>
  <si>
    <t>Distributed</t>
  </si>
  <si>
    <t>Redis/Caching</t>
  </si>
  <si>
    <t>Kafka</t>
  </si>
  <si>
    <t>LLD</t>
  </si>
  <si>
    <t>SOLID</t>
  </si>
  <si>
    <t>Design Patterns</t>
  </si>
  <si>
    <t>Parking Lot</t>
  </si>
  <si>
    <t>HLD</t>
  </si>
  <si>
    <t>Scalability</t>
  </si>
  <si>
    <t>CAP Theorem</t>
  </si>
  <si>
    <t>Caching</t>
  </si>
  <si>
    <t>Sharding/Replication</t>
  </si>
  <si>
    <t>CS</t>
  </si>
  <si>
    <t>OS</t>
  </si>
  <si>
    <t>Networking</t>
  </si>
  <si>
    <t>HTTP/HTTPS/DNS</t>
  </si>
  <si>
    <t>Cloud</t>
  </si>
  <si>
    <t>AWS</t>
  </si>
  <si>
    <t>Maintain</t>
  </si>
  <si>
    <t>Docker/Kubernetes</t>
  </si>
  <si>
    <t>Terraform</t>
  </si>
  <si>
    <t>How to use this tracker</t>
  </si>
  <si>
    <t>1. Start with Day 1 and follow the Daily Tracker in order.</t>
  </si>
  <si>
    <t>2. At the end of each day, change Status to Done/In Progress/Skipped.</t>
  </si>
  <si>
    <t>3. Enter actual study Hours and number of DSA Problems Solved.</t>
  </si>
  <si>
    <t>4. Use Notes for mistakes, weak topics, or questions to revisit.</t>
  </si>
  <si>
    <t>5. Use Dashboard to monitor completion, hours, and DSA progress.</t>
  </si>
  <si>
    <t>6. Use Topic Checklist to rate confidence and track interview readiness.</t>
  </si>
  <si>
    <t>7. Do not add lots of new technologies. Focus on Python + DSA + backend + SQL + LLD/HLD + CS.</t>
  </si>
  <si>
    <t>8. Start applying around Day 45–60; do not wait for Day 90.</t>
  </si>
  <si>
    <t>90-Day SDE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</si>
</sst>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2" borderId="0" xfId="0" applyFill="1"/>
    <xf numFmtId="9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7" customWidth="1"/>
    <col min="3" max="3" width="18" customWidth="1"/>
    <col min="4" max="4" width="38" customWidth="1"/>
    <col min="5" max="5" width="34" customWidth="1"/>
    <col min="6" max="6" width="40" customWidth="1"/>
    <col min="7" max="7" width="38" customWidth="1"/>
    <col min="8" max="8" width="34" customWidth="1"/>
    <col min="9" max="9" width="24" customWidth="1"/>
    <col min="10" max="10" width="15" customWidth="1"/>
    <col min="11" max="11" width="9" customWidth="1"/>
    <col min="12" max="12" width="15" customWidth="1"/>
    <col min="13" max="13" width="3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5">
      <c r="A2" s="2">
        <v>1</v>
      </c>
      <c r="B2" s="2">
        <v>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>
        <v>0</v>
      </c>
      <c r="M2" s="2">
        <v>0</v>
      </c>
      <c r="N2" s="2"/>
    </row>
    <row r="3" spans="1:14" ht="29" x14ac:dyDescent="0.35">
      <c r="A3" s="2">
        <v>2</v>
      </c>
      <c r="B3" s="2">
        <v>1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17</v>
      </c>
      <c r="H3" s="2" t="s">
        <v>17</v>
      </c>
      <c r="I3" s="2" t="s">
        <v>19</v>
      </c>
      <c r="J3" s="2" t="s">
        <v>20</v>
      </c>
      <c r="K3" s="2"/>
      <c r="L3" s="2">
        <v>0</v>
      </c>
      <c r="M3" s="2">
        <v>0</v>
      </c>
      <c r="N3" s="2"/>
    </row>
    <row r="4" spans="1:14" x14ac:dyDescent="0.35">
      <c r="A4" s="2">
        <v>3</v>
      </c>
      <c r="B4" s="2">
        <v>1</v>
      </c>
      <c r="C4" s="2" t="s">
        <v>13</v>
      </c>
      <c r="D4" s="2" t="s">
        <v>24</v>
      </c>
      <c r="E4" s="2" t="s">
        <v>25</v>
      </c>
      <c r="F4" s="2" t="s">
        <v>26</v>
      </c>
      <c r="G4" s="2" t="s">
        <v>17</v>
      </c>
      <c r="H4" s="2" t="s">
        <v>17</v>
      </c>
      <c r="I4" s="2" t="s">
        <v>19</v>
      </c>
      <c r="J4" s="2" t="s">
        <v>20</v>
      </c>
      <c r="K4" s="2"/>
      <c r="L4" s="2">
        <v>0</v>
      </c>
      <c r="M4" s="2">
        <v>0</v>
      </c>
      <c r="N4" s="2"/>
    </row>
    <row r="5" spans="1:14" x14ac:dyDescent="0.35">
      <c r="A5" s="2">
        <v>4</v>
      </c>
      <c r="B5" s="2">
        <v>1</v>
      </c>
      <c r="C5" s="2" t="s">
        <v>13</v>
      </c>
      <c r="D5" s="2" t="s">
        <v>27</v>
      </c>
      <c r="E5" s="2" t="s">
        <v>28</v>
      </c>
      <c r="F5" s="2" t="s">
        <v>29</v>
      </c>
      <c r="G5" s="2" t="s">
        <v>17</v>
      </c>
      <c r="H5" s="2" t="s">
        <v>17</v>
      </c>
      <c r="I5" s="2" t="s">
        <v>19</v>
      </c>
      <c r="J5" s="2" t="s">
        <v>20</v>
      </c>
      <c r="K5" s="2"/>
      <c r="L5" s="2">
        <v>0</v>
      </c>
      <c r="M5" s="2">
        <v>0</v>
      </c>
      <c r="N5" s="2"/>
    </row>
    <row r="6" spans="1:14" x14ac:dyDescent="0.35">
      <c r="A6" s="2">
        <v>5</v>
      </c>
      <c r="B6" s="2">
        <v>1</v>
      </c>
      <c r="C6" s="2" t="s">
        <v>13</v>
      </c>
      <c r="D6" s="2" t="s">
        <v>30</v>
      </c>
      <c r="E6" s="2" t="s">
        <v>31</v>
      </c>
      <c r="F6" s="2" t="s">
        <v>32</v>
      </c>
      <c r="G6" s="2" t="s">
        <v>17</v>
      </c>
      <c r="H6" s="2" t="s">
        <v>17</v>
      </c>
      <c r="I6" s="2" t="s">
        <v>19</v>
      </c>
      <c r="J6" s="2" t="s">
        <v>20</v>
      </c>
      <c r="K6" s="2"/>
      <c r="L6" s="2">
        <v>0</v>
      </c>
      <c r="M6" s="2">
        <v>0</v>
      </c>
      <c r="N6" s="2"/>
    </row>
    <row r="7" spans="1:14" x14ac:dyDescent="0.35">
      <c r="A7" s="2">
        <v>6</v>
      </c>
      <c r="B7" s="2">
        <v>1</v>
      </c>
      <c r="C7" s="2" t="s">
        <v>13</v>
      </c>
      <c r="D7" s="2" t="s">
        <v>33</v>
      </c>
      <c r="E7" s="2" t="s">
        <v>34</v>
      </c>
      <c r="F7" s="2" t="s">
        <v>35</v>
      </c>
      <c r="G7" s="2" t="s">
        <v>17</v>
      </c>
      <c r="H7" s="2" t="s">
        <v>17</v>
      </c>
      <c r="I7" s="2" t="s">
        <v>19</v>
      </c>
      <c r="J7" s="2" t="s">
        <v>20</v>
      </c>
      <c r="K7" s="2"/>
      <c r="L7" s="2">
        <v>0</v>
      </c>
      <c r="M7" s="2">
        <v>0</v>
      </c>
      <c r="N7" s="2"/>
    </row>
    <row r="8" spans="1:14" x14ac:dyDescent="0.35">
      <c r="A8" s="2">
        <v>7</v>
      </c>
      <c r="B8" s="2">
        <v>1</v>
      </c>
      <c r="C8" s="2" t="s">
        <v>13</v>
      </c>
      <c r="D8" s="2" t="s">
        <v>36</v>
      </c>
      <c r="E8" s="2" t="s">
        <v>37</v>
      </c>
      <c r="F8" s="2" t="s">
        <v>38</v>
      </c>
      <c r="G8" s="2" t="s">
        <v>17</v>
      </c>
      <c r="H8" s="2" t="s">
        <v>39</v>
      </c>
      <c r="I8" s="2" t="s">
        <v>40</v>
      </c>
      <c r="J8" s="2" t="s">
        <v>20</v>
      </c>
      <c r="K8" s="2"/>
      <c r="L8" s="2">
        <v>0</v>
      </c>
      <c r="M8" s="2">
        <v>0</v>
      </c>
      <c r="N8" s="2"/>
    </row>
    <row r="9" spans="1:14" x14ac:dyDescent="0.35">
      <c r="A9" s="2">
        <v>8</v>
      </c>
      <c r="B9" s="2">
        <v>2</v>
      </c>
      <c r="C9" s="2" t="s">
        <v>13</v>
      </c>
      <c r="D9" s="2" t="s">
        <v>41</v>
      </c>
      <c r="E9" s="2" t="s">
        <v>42</v>
      </c>
      <c r="F9" s="2" t="s">
        <v>43</v>
      </c>
      <c r="G9" s="2" t="s">
        <v>17</v>
      </c>
      <c r="H9" s="2" t="s">
        <v>17</v>
      </c>
      <c r="I9" s="2" t="s">
        <v>44</v>
      </c>
      <c r="J9" s="2" t="s">
        <v>20</v>
      </c>
      <c r="K9" s="2"/>
      <c r="L9" s="2">
        <v>0</v>
      </c>
      <c r="M9" s="2">
        <v>0</v>
      </c>
      <c r="N9" s="2"/>
    </row>
    <row r="10" spans="1:14" x14ac:dyDescent="0.35">
      <c r="A10" s="2">
        <v>9</v>
      </c>
      <c r="B10" s="2">
        <v>2</v>
      </c>
      <c r="C10" s="2" t="s">
        <v>13</v>
      </c>
      <c r="D10" s="2" t="s">
        <v>45</v>
      </c>
      <c r="E10" s="2" t="s">
        <v>46</v>
      </c>
      <c r="F10" s="2" t="s">
        <v>47</v>
      </c>
      <c r="G10" s="2" t="s">
        <v>17</v>
      </c>
      <c r="H10" s="2" t="s">
        <v>17</v>
      </c>
      <c r="I10" s="2" t="s">
        <v>48</v>
      </c>
      <c r="J10" s="2" t="s">
        <v>20</v>
      </c>
      <c r="K10" s="2"/>
      <c r="L10" s="2">
        <v>0</v>
      </c>
      <c r="M10" s="2">
        <v>0</v>
      </c>
      <c r="N10" s="2"/>
    </row>
    <row r="11" spans="1:14" x14ac:dyDescent="0.35">
      <c r="A11" s="2">
        <v>10</v>
      </c>
      <c r="B11" s="2">
        <v>2</v>
      </c>
      <c r="C11" s="2" t="s">
        <v>13</v>
      </c>
      <c r="D11" s="2" t="s">
        <v>49</v>
      </c>
      <c r="E11" s="2" t="s">
        <v>50</v>
      </c>
      <c r="F11" s="2" t="s">
        <v>51</v>
      </c>
      <c r="G11" s="2" t="s">
        <v>17</v>
      </c>
      <c r="H11" s="2" t="s">
        <v>17</v>
      </c>
      <c r="I11" s="2" t="s">
        <v>48</v>
      </c>
      <c r="J11" s="2" t="s">
        <v>20</v>
      </c>
      <c r="K11" s="2"/>
      <c r="L11" s="2">
        <v>0</v>
      </c>
      <c r="M11" s="2">
        <v>0</v>
      </c>
      <c r="N11" s="2"/>
    </row>
    <row r="12" spans="1:14" x14ac:dyDescent="0.35">
      <c r="A12" s="2">
        <v>11</v>
      </c>
      <c r="B12" s="2">
        <v>2</v>
      </c>
      <c r="C12" s="2" t="s">
        <v>13</v>
      </c>
      <c r="D12" s="2" t="s">
        <v>52</v>
      </c>
      <c r="E12" s="2" t="s">
        <v>53</v>
      </c>
      <c r="F12" s="2" t="s">
        <v>54</v>
      </c>
      <c r="G12" s="2" t="s">
        <v>17</v>
      </c>
      <c r="H12" s="2" t="s">
        <v>17</v>
      </c>
      <c r="I12" s="2" t="s">
        <v>48</v>
      </c>
      <c r="J12" s="2" t="s">
        <v>20</v>
      </c>
      <c r="K12" s="2"/>
      <c r="L12" s="2">
        <v>0</v>
      </c>
      <c r="M12" s="2">
        <v>0</v>
      </c>
      <c r="N12" s="2"/>
    </row>
    <row r="13" spans="1:14" x14ac:dyDescent="0.35">
      <c r="A13" s="2">
        <v>12</v>
      </c>
      <c r="B13" s="2">
        <v>2</v>
      </c>
      <c r="C13" s="2" t="s">
        <v>13</v>
      </c>
      <c r="D13" s="2" t="s">
        <v>55</v>
      </c>
      <c r="E13" s="2" t="s">
        <v>56</v>
      </c>
      <c r="F13" s="2" t="s">
        <v>51</v>
      </c>
      <c r="G13" s="2" t="s">
        <v>17</v>
      </c>
      <c r="H13" s="2" t="s">
        <v>17</v>
      </c>
      <c r="I13" s="2" t="s">
        <v>48</v>
      </c>
      <c r="J13" s="2" t="s">
        <v>20</v>
      </c>
      <c r="K13" s="2"/>
      <c r="L13" s="2">
        <v>0</v>
      </c>
      <c r="M13" s="2">
        <v>0</v>
      </c>
      <c r="N13" s="2"/>
    </row>
    <row r="14" spans="1:14" x14ac:dyDescent="0.35">
      <c r="A14" s="2">
        <v>13</v>
      </c>
      <c r="B14" s="2">
        <v>2</v>
      </c>
      <c r="C14" s="2" t="s">
        <v>13</v>
      </c>
      <c r="D14" s="2" t="s">
        <v>57</v>
      </c>
      <c r="E14" s="2" t="s">
        <v>58</v>
      </c>
      <c r="F14" s="2" t="s">
        <v>59</v>
      </c>
      <c r="G14" s="2" t="s">
        <v>17</v>
      </c>
      <c r="H14" s="2" t="s">
        <v>17</v>
      </c>
      <c r="I14" s="2" t="s">
        <v>60</v>
      </c>
      <c r="J14" s="2" t="s">
        <v>20</v>
      </c>
      <c r="K14" s="2"/>
      <c r="L14" s="2">
        <v>0</v>
      </c>
      <c r="M14" s="2">
        <v>0</v>
      </c>
      <c r="N14" s="2"/>
    </row>
    <row r="15" spans="1:14" x14ac:dyDescent="0.35">
      <c r="A15" s="2">
        <v>14</v>
      </c>
      <c r="B15" s="2">
        <v>2</v>
      </c>
      <c r="C15" s="2" t="s">
        <v>13</v>
      </c>
      <c r="D15" s="2" t="s">
        <v>39</v>
      </c>
      <c r="E15" s="2" t="s">
        <v>61</v>
      </c>
      <c r="F15" s="2" t="s">
        <v>62</v>
      </c>
      <c r="G15" s="2" t="s">
        <v>17</v>
      </c>
      <c r="H15" s="2" t="s">
        <v>63</v>
      </c>
      <c r="I15" s="2" t="s">
        <v>64</v>
      </c>
      <c r="J15" s="2" t="s">
        <v>20</v>
      </c>
      <c r="K15" s="2"/>
      <c r="L15" s="2">
        <v>0</v>
      </c>
      <c r="M15" s="2">
        <v>0</v>
      </c>
      <c r="N15" s="2"/>
    </row>
    <row r="16" spans="1:14" x14ac:dyDescent="0.35">
      <c r="A16" s="2">
        <v>15</v>
      </c>
      <c r="B16" s="2">
        <v>3</v>
      </c>
      <c r="C16" s="2" t="s">
        <v>13</v>
      </c>
      <c r="D16" s="2" t="s">
        <v>65</v>
      </c>
      <c r="E16" s="2" t="s">
        <v>66</v>
      </c>
      <c r="F16" s="2" t="s">
        <v>67</v>
      </c>
      <c r="G16" s="2" t="s">
        <v>68</v>
      </c>
      <c r="H16" s="2" t="s">
        <v>17</v>
      </c>
      <c r="I16" s="2" t="s">
        <v>48</v>
      </c>
      <c r="J16" s="2" t="s">
        <v>20</v>
      </c>
      <c r="K16" s="2"/>
      <c r="L16" s="2">
        <v>0</v>
      </c>
      <c r="M16" s="2">
        <v>0</v>
      </c>
      <c r="N16" s="2"/>
    </row>
    <row r="17" spans="1:14" x14ac:dyDescent="0.35">
      <c r="A17" s="2">
        <v>16</v>
      </c>
      <c r="B17" s="2">
        <v>3</v>
      </c>
      <c r="C17" s="2" t="s">
        <v>13</v>
      </c>
      <c r="D17" s="2" t="s">
        <v>69</v>
      </c>
      <c r="E17" s="2" t="s">
        <v>70</v>
      </c>
      <c r="F17" s="2" t="s">
        <v>51</v>
      </c>
      <c r="G17" s="2" t="s">
        <v>71</v>
      </c>
      <c r="H17" s="2" t="s">
        <v>17</v>
      </c>
      <c r="I17" s="2" t="s">
        <v>48</v>
      </c>
      <c r="J17" s="2" t="s">
        <v>20</v>
      </c>
      <c r="K17" s="2"/>
      <c r="L17" s="2">
        <v>0</v>
      </c>
      <c r="M17" s="2">
        <v>0</v>
      </c>
      <c r="N17" s="2"/>
    </row>
    <row r="18" spans="1:14" x14ac:dyDescent="0.35">
      <c r="A18" s="2">
        <v>17</v>
      </c>
      <c r="B18" s="2">
        <v>3</v>
      </c>
      <c r="C18" s="2" t="s">
        <v>13</v>
      </c>
      <c r="D18" s="2" t="s">
        <v>72</v>
      </c>
      <c r="E18" s="2" t="s">
        <v>73</v>
      </c>
      <c r="F18" s="2" t="s">
        <v>51</v>
      </c>
      <c r="G18" s="2" t="s">
        <v>74</v>
      </c>
      <c r="H18" s="2" t="s">
        <v>17</v>
      </c>
      <c r="I18" s="2" t="s">
        <v>48</v>
      </c>
      <c r="J18" s="2" t="s">
        <v>20</v>
      </c>
      <c r="K18" s="2"/>
      <c r="L18" s="2">
        <v>0</v>
      </c>
      <c r="M18" s="2">
        <v>0</v>
      </c>
      <c r="N18" s="2"/>
    </row>
    <row r="19" spans="1:14" x14ac:dyDescent="0.35">
      <c r="A19" s="2">
        <v>18</v>
      </c>
      <c r="B19" s="2">
        <v>3</v>
      </c>
      <c r="C19" s="2" t="s">
        <v>13</v>
      </c>
      <c r="D19" s="2" t="s">
        <v>75</v>
      </c>
      <c r="E19" s="2" t="s">
        <v>76</v>
      </c>
      <c r="F19" s="2" t="s">
        <v>59</v>
      </c>
      <c r="G19" s="2" t="s">
        <v>17</v>
      </c>
      <c r="H19" s="2" t="s">
        <v>17</v>
      </c>
      <c r="I19" s="2" t="s">
        <v>48</v>
      </c>
      <c r="J19" s="2" t="s">
        <v>20</v>
      </c>
      <c r="K19" s="2"/>
      <c r="L19" s="2">
        <v>0</v>
      </c>
      <c r="M19" s="2">
        <v>0</v>
      </c>
      <c r="N19" s="2"/>
    </row>
    <row r="20" spans="1:14" x14ac:dyDescent="0.35">
      <c r="A20" s="2">
        <v>19</v>
      </c>
      <c r="B20" s="2">
        <v>3</v>
      </c>
      <c r="C20" s="2" t="s">
        <v>13</v>
      </c>
      <c r="D20" s="2" t="s">
        <v>77</v>
      </c>
      <c r="E20" s="2" t="s">
        <v>78</v>
      </c>
      <c r="F20" s="2" t="s">
        <v>79</v>
      </c>
      <c r="G20" s="2" t="s">
        <v>17</v>
      </c>
      <c r="H20" s="2" t="s">
        <v>17</v>
      </c>
      <c r="I20" s="2" t="s">
        <v>48</v>
      </c>
      <c r="J20" s="2" t="s">
        <v>20</v>
      </c>
      <c r="K20" s="2"/>
      <c r="L20" s="2">
        <v>0</v>
      </c>
      <c r="M20" s="2">
        <v>0</v>
      </c>
      <c r="N20" s="2"/>
    </row>
    <row r="21" spans="1:14" x14ac:dyDescent="0.35">
      <c r="A21" s="2">
        <v>20</v>
      </c>
      <c r="B21" s="2">
        <v>3</v>
      </c>
      <c r="C21" s="2" t="s">
        <v>13</v>
      </c>
      <c r="D21" s="2" t="s">
        <v>80</v>
      </c>
      <c r="E21" s="2" t="s">
        <v>81</v>
      </c>
      <c r="F21" s="2" t="s">
        <v>82</v>
      </c>
      <c r="G21" s="2" t="s">
        <v>17</v>
      </c>
      <c r="H21" s="2" t="s">
        <v>17</v>
      </c>
      <c r="I21" s="2" t="s">
        <v>48</v>
      </c>
      <c r="J21" s="2" t="s">
        <v>20</v>
      </c>
      <c r="K21" s="2"/>
      <c r="L21" s="2">
        <v>0</v>
      </c>
      <c r="M21" s="2">
        <v>0</v>
      </c>
      <c r="N21" s="2"/>
    </row>
    <row r="22" spans="1:14" x14ac:dyDescent="0.35">
      <c r="A22" s="2">
        <v>21</v>
      </c>
      <c r="B22" s="2">
        <v>3</v>
      </c>
      <c r="C22" s="2" t="s">
        <v>13</v>
      </c>
      <c r="D22" s="2" t="s">
        <v>83</v>
      </c>
      <c r="E22" s="2" t="s">
        <v>84</v>
      </c>
      <c r="F22" s="2" t="s">
        <v>67</v>
      </c>
      <c r="G22" s="2" t="s">
        <v>17</v>
      </c>
      <c r="H22" s="2" t="s">
        <v>39</v>
      </c>
      <c r="I22" s="2" t="s">
        <v>40</v>
      </c>
      <c r="J22" s="2" t="s">
        <v>20</v>
      </c>
      <c r="K22" s="2"/>
      <c r="L22" s="2">
        <v>0</v>
      </c>
      <c r="M22" s="2">
        <v>0</v>
      </c>
      <c r="N22" s="2"/>
    </row>
    <row r="23" spans="1:14" x14ac:dyDescent="0.35">
      <c r="A23" s="2">
        <v>22</v>
      </c>
      <c r="B23" s="2">
        <v>4</v>
      </c>
      <c r="C23" s="2" t="s">
        <v>13</v>
      </c>
      <c r="D23" s="2" t="s">
        <v>85</v>
      </c>
      <c r="E23" s="2" t="s">
        <v>86</v>
      </c>
      <c r="F23" s="2" t="s">
        <v>51</v>
      </c>
      <c r="G23" s="2" t="s">
        <v>87</v>
      </c>
      <c r="H23" s="2" t="s">
        <v>17</v>
      </c>
      <c r="I23" s="2" t="s">
        <v>48</v>
      </c>
      <c r="J23" s="2" t="s">
        <v>20</v>
      </c>
      <c r="K23" s="2"/>
      <c r="L23" s="2">
        <v>0</v>
      </c>
      <c r="M23" s="2">
        <v>0</v>
      </c>
      <c r="N23" s="2"/>
    </row>
    <row r="24" spans="1:14" x14ac:dyDescent="0.35">
      <c r="A24" s="2">
        <v>23</v>
      </c>
      <c r="B24" s="2">
        <v>4</v>
      </c>
      <c r="C24" s="2" t="s">
        <v>13</v>
      </c>
      <c r="D24" s="2" t="s">
        <v>88</v>
      </c>
      <c r="E24" s="2" t="s">
        <v>89</v>
      </c>
      <c r="F24" s="2" t="s">
        <v>51</v>
      </c>
      <c r="G24" s="2" t="s">
        <v>90</v>
      </c>
      <c r="H24" s="2" t="s">
        <v>17</v>
      </c>
      <c r="I24" s="2" t="s">
        <v>48</v>
      </c>
      <c r="J24" s="2" t="s">
        <v>20</v>
      </c>
      <c r="K24" s="2"/>
      <c r="L24" s="2">
        <v>0</v>
      </c>
      <c r="M24" s="2">
        <v>0</v>
      </c>
      <c r="N24" s="2"/>
    </row>
    <row r="25" spans="1:14" x14ac:dyDescent="0.35">
      <c r="A25" s="2">
        <v>24</v>
      </c>
      <c r="B25" s="2">
        <v>4</v>
      </c>
      <c r="C25" s="2" t="s">
        <v>13</v>
      </c>
      <c r="D25" s="2" t="s">
        <v>91</v>
      </c>
      <c r="E25" s="2" t="s">
        <v>92</v>
      </c>
      <c r="F25" s="2" t="s">
        <v>51</v>
      </c>
      <c r="G25" s="2" t="s">
        <v>93</v>
      </c>
      <c r="H25" s="2" t="s">
        <v>17</v>
      </c>
      <c r="I25" s="2" t="s">
        <v>48</v>
      </c>
      <c r="J25" s="2" t="s">
        <v>20</v>
      </c>
      <c r="K25" s="2"/>
      <c r="L25" s="2">
        <v>0</v>
      </c>
      <c r="M25" s="2">
        <v>0</v>
      </c>
      <c r="N25" s="2"/>
    </row>
    <row r="26" spans="1:14" x14ac:dyDescent="0.35">
      <c r="A26" s="2">
        <v>25</v>
      </c>
      <c r="B26" s="2">
        <v>4</v>
      </c>
      <c r="C26" s="2" t="s">
        <v>13</v>
      </c>
      <c r="D26" s="2" t="s">
        <v>94</v>
      </c>
      <c r="E26" s="2" t="s">
        <v>95</v>
      </c>
      <c r="F26" s="2" t="s">
        <v>67</v>
      </c>
      <c r="G26" s="2" t="s">
        <v>96</v>
      </c>
      <c r="H26" s="2" t="s">
        <v>17</v>
      </c>
      <c r="I26" s="2" t="s">
        <v>48</v>
      </c>
      <c r="J26" s="2" t="s">
        <v>20</v>
      </c>
      <c r="K26" s="2"/>
      <c r="L26" s="2">
        <v>0</v>
      </c>
      <c r="M26" s="2">
        <v>0</v>
      </c>
      <c r="N26" s="2"/>
    </row>
    <row r="27" spans="1:14" x14ac:dyDescent="0.35">
      <c r="A27" s="2">
        <v>26</v>
      </c>
      <c r="B27" s="2">
        <v>4</v>
      </c>
      <c r="C27" s="2" t="s">
        <v>13</v>
      </c>
      <c r="D27" s="2" t="s">
        <v>97</v>
      </c>
      <c r="E27" s="2" t="s">
        <v>98</v>
      </c>
      <c r="F27" s="2" t="s">
        <v>54</v>
      </c>
      <c r="G27" s="2" t="s">
        <v>99</v>
      </c>
      <c r="H27" s="2" t="s">
        <v>17</v>
      </c>
      <c r="I27" s="2" t="s">
        <v>48</v>
      </c>
      <c r="J27" s="2" t="s">
        <v>20</v>
      </c>
      <c r="K27" s="2"/>
      <c r="L27" s="2">
        <v>0</v>
      </c>
      <c r="M27" s="2">
        <v>0</v>
      </c>
      <c r="N27" s="2"/>
    </row>
    <row r="28" spans="1:14" ht="29" x14ac:dyDescent="0.35">
      <c r="A28" s="2">
        <v>27</v>
      </c>
      <c r="B28" s="2">
        <v>4</v>
      </c>
      <c r="C28" s="2" t="s">
        <v>13</v>
      </c>
      <c r="D28" s="2" t="s">
        <v>100</v>
      </c>
      <c r="E28" s="2" t="s">
        <v>101</v>
      </c>
      <c r="F28" s="2" t="s">
        <v>59</v>
      </c>
      <c r="G28" s="2" t="s">
        <v>102</v>
      </c>
      <c r="H28" s="2" t="s">
        <v>17</v>
      </c>
      <c r="I28" s="2" t="s">
        <v>48</v>
      </c>
      <c r="J28" s="2" t="s">
        <v>20</v>
      </c>
      <c r="K28" s="2"/>
      <c r="L28" s="2">
        <v>0</v>
      </c>
      <c r="M28" s="2">
        <v>0</v>
      </c>
      <c r="N28" s="2"/>
    </row>
    <row r="29" spans="1:14" x14ac:dyDescent="0.35">
      <c r="A29" s="2">
        <v>28</v>
      </c>
      <c r="B29" s="2">
        <v>4</v>
      </c>
      <c r="C29" s="2" t="s">
        <v>13</v>
      </c>
      <c r="D29" s="2" t="s">
        <v>103</v>
      </c>
      <c r="E29" s="2" t="s">
        <v>61</v>
      </c>
      <c r="F29" s="2" t="s">
        <v>62</v>
      </c>
      <c r="G29" s="2" t="s">
        <v>104</v>
      </c>
      <c r="H29" s="2" t="s">
        <v>105</v>
      </c>
      <c r="I29" s="2" t="s">
        <v>106</v>
      </c>
      <c r="J29" s="2" t="s">
        <v>20</v>
      </c>
      <c r="K29" s="2"/>
      <c r="L29" s="2">
        <v>0</v>
      </c>
      <c r="M29" s="2">
        <v>0</v>
      </c>
      <c r="N29" s="2"/>
    </row>
    <row r="30" spans="1:14" x14ac:dyDescent="0.35">
      <c r="A30" s="2">
        <v>29</v>
      </c>
      <c r="B30" s="2">
        <v>5</v>
      </c>
      <c r="C30" s="2" t="s">
        <v>107</v>
      </c>
      <c r="D30" s="2" t="s">
        <v>80</v>
      </c>
      <c r="E30" s="2" t="s">
        <v>108</v>
      </c>
      <c r="F30" s="2" t="s">
        <v>17</v>
      </c>
      <c r="G30" s="2" t="s">
        <v>109</v>
      </c>
      <c r="H30" s="2" t="s">
        <v>17</v>
      </c>
      <c r="I30" s="2" t="s">
        <v>110</v>
      </c>
      <c r="J30" s="2" t="s">
        <v>20</v>
      </c>
      <c r="K30" s="2"/>
      <c r="L30" s="2">
        <v>0</v>
      </c>
      <c r="M30" s="2">
        <v>0</v>
      </c>
      <c r="N30" s="2"/>
    </row>
    <row r="31" spans="1:14" x14ac:dyDescent="0.35">
      <c r="A31" s="2">
        <v>30</v>
      </c>
      <c r="B31" s="2">
        <v>5</v>
      </c>
      <c r="C31" s="2" t="s">
        <v>107</v>
      </c>
      <c r="D31" s="2" t="s">
        <v>80</v>
      </c>
      <c r="E31" s="2" t="s">
        <v>111</v>
      </c>
      <c r="F31" s="2" t="s">
        <v>17</v>
      </c>
      <c r="G31" s="2" t="s">
        <v>112</v>
      </c>
      <c r="H31" s="2" t="s">
        <v>17</v>
      </c>
      <c r="I31" s="2" t="s">
        <v>110</v>
      </c>
      <c r="J31" s="2" t="s">
        <v>20</v>
      </c>
      <c r="K31" s="2"/>
      <c r="L31" s="2">
        <v>0</v>
      </c>
      <c r="M31" s="2">
        <v>0</v>
      </c>
      <c r="N31" s="2"/>
    </row>
    <row r="32" spans="1:14" x14ac:dyDescent="0.35">
      <c r="A32" s="2">
        <v>31</v>
      </c>
      <c r="B32" s="2">
        <v>5</v>
      </c>
      <c r="C32" s="2" t="s">
        <v>107</v>
      </c>
      <c r="D32" s="2" t="s">
        <v>80</v>
      </c>
      <c r="E32" s="2" t="s">
        <v>113</v>
      </c>
      <c r="F32" s="2" t="s">
        <v>17</v>
      </c>
      <c r="G32" s="2" t="s">
        <v>114</v>
      </c>
      <c r="H32" s="2" t="s">
        <v>17</v>
      </c>
      <c r="I32" s="2" t="s">
        <v>110</v>
      </c>
      <c r="J32" s="2" t="s">
        <v>20</v>
      </c>
      <c r="K32" s="2"/>
      <c r="L32" s="2">
        <v>0</v>
      </c>
      <c r="M32" s="2">
        <v>0</v>
      </c>
      <c r="N32" s="2"/>
    </row>
    <row r="33" spans="1:14" x14ac:dyDescent="0.35">
      <c r="A33" s="2">
        <v>32</v>
      </c>
      <c r="B33" s="2">
        <v>5</v>
      </c>
      <c r="C33" s="2" t="s">
        <v>107</v>
      </c>
      <c r="D33" s="2" t="s">
        <v>80</v>
      </c>
      <c r="E33" s="2" t="s">
        <v>115</v>
      </c>
      <c r="F33" s="2" t="s">
        <v>17</v>
      </c>
      <c r="G33" s="2" t="s">
        <v>116</v>
      </c>
      <c r="H33" s="2" t="s">
        <v>117</v>
      </c>
      <c r="I33" s="2" t="s">
        <v>110</v>
      </c>
      <c r="J33" s="2" t="s">
        <v>20</v>
      </c>
      <c r="K33" s="2"/>
      <c r="L33" s="2">
        <v>0</v>
      </c>
      <c r="M33" s="2">
        <v>0</v>
      </c>
      <c r="N33" s="2"/>
    </row>
    <row r="34" spans="1:14" x14ac:dyDescent="0.35">
      <c r="A34" s="2">
        <v>33</v>
      </c>
      <c r="B34" s="2">
        <v>5</v>
      </c>
      <c r="C34" s="2" t="s">
        <v>107</v>
      </c>
      <c r="D34" s="2" t="s">
        <v>80</v>
      </c>
      <c r="E34" s="2" t="s">
        <v>118</v>
      </c>
      <c r="F34" s="2" t="s">
        <v>17</v>
      </c>
      <c r="G34" s="2" t="s">
        <v>119</v>
      </c>
      <c r="H34" s="2" t="s">
        <v>120</v>
      </c>
      <c r="I34" s="2" t="s">
        <v>110</v>
      </c>
      <c r="J34" s="2" t="s">
        <v>20</v>
      </c>
      <c r="K34" s="2"/>
      <c r="L34" s="2">
        <v>0</v>
      </c>
      <c r="M34" s="2">
        <v>0</v>
      </c>
      <c r="N34" s="2"/>
    </row>
    <row r="35" spans="1:14" x14ac:dyDescent="0.35">
      <c r="A35" s="2">
        <v>34</v>
      </c>
      <c r="B35" s="2">
        <v>5</v>
      </c>
      <c r="C35" s="2" t="s">
        <v>107</v>
      </c>
      <c r="D35" s="2" t="s">
        <v>80</v>
      </c>
      <c r="E35" s="2" t="s">
        <v>121</v>
      </c>
      <c r="F35" s="2" t="s">
        <v>17</v>
      </c>
      <c r="G35" s="2" t="s">
        <v>122</v>
      </c>
      <c r="H35" s="2" t="s">
        <v>123</v>
      </c>
      <c r="I35" s="2" t="s">
        <v>110</v>
      </c>
      <c r="J35" s="2" t="s">
        <v>20</v>
      </c>
      <c r="K35" s="2"/>
      <c r="L35" s="2">
        <v>0</v>
      </c>
      <c r="M35" s="2">
        <v>0</v>
      </c>
      <c r="N35" s="2"/>
    </row>
    <row r="36" spans="1:14" x14ac:dyDescent="0.35">
      <c r="A36" s="2">
        <v>35</v>
      </c>
      <c r="B36" s="2">
        <v>5</v>
      </c>
      <c r="C36" s="2" t="s">
        <v>107</v>
      </c>
      <c r="D36" s="2" t="s">
        <v>83</v>
      </c>
      <c r="E36" s="2" t="s">
        <v>124</v>
      </c>
      <c r="F36" s="2" t="s">
        <v>67</v>
      </c>
      <c r="G36" s="2" t="s">
        <v>125</v>
      </c>
      <c r="H36" s="2" t="s">
        <v>126</v>
      </c>
      <c r="I36" s="2" t="s">
        <v>127</v>
      </c>
      <c r="J36" s="2" t="s">
        <v>20</v>
      </c>
      <c r="K36" s="2"/>
      <c r="L36" s="2">
        <v>0</v>
      </c>
      <c r="M36" s="2">
        <v>0</v>
      </c>
      <c r="N36" s="2"/>
    </row>
    <row r="37" spans="1:14" x14ac:dyDescent="0.35">
      <c r="A37" s="2">
        <v>36</v>
      </c>
      <c r="B37" s="2">
        <v>6</v>
      </c>
      <c r="C37" s="2" t="s">
        <v>107</v>
      </c>
      <c r="D37" s="2" t="s">
        <v>80</v>
      </c>
      <c r="E37" s="2" t="s">
        <v>128</v>
      </c>
      <c r="F37" s="2" t="s">
        <v>129</v>
      </c>
      <c r="G37" s="2" t="s">
        <v>130</v>
      </c>
      <c r="H37" s="2" t="s">
        <v>131</v>
      </c>
      <c r="I37" s="2" t="s">
        <v>132</v>
      </c>
      <c r="J37" s="2" t="s">
        <v>20</v>
      </c>
      <c r="K37" s="2"/>
      <c r="L37" s="2">
        <v>0</v>
      </c>
      <c r="M37" s="2">
        <v>0</v>
      </c>
      <c r="N37" s="2"/>
    </row>
    <row r="38" spans="1:14" x14ac:dyDescent="0.35">
      <c r="A38" s="2">
        <v>37</v>
      </c>
      <c r="B38" s="2">
        <v>6</v>
      </c>
      <c r="C38" s="2" t="s">
        <v>107</v>
      </c>
      <c r="D38" s="2" t="s">
        <v>80</v>
      </c>
      <c r="E38" s="2" t="s">
        <v>133</v>
      </c>
      <c r="F38" s="2" t="s">
        <v>134</v>
      </c>
      <c r="G38" s="2" t="s">
        <v>135</v>
      </c>
      <c r="H38" s="2" t="s">
        <v>136</v>
      </c>
      <c r="I38" s="2" t="s">
        <v>132</v>
      </c>
      <c r="J38" s="2" t="s">
        <v>20</v>
      </c>
      <c r="K38" s="2"/>
      <c r="L38" s="2">
        <v>0</v>
      </c>
      <c r="M38" s="2">
        <v>0</v>
      </c>
      <c r="N38" s="2"/>
    </row>
    <row r="39" spans="1:14" x14ac:dyDescent="0.35">
      <c r="A39" s="2">
        <v>38</v>
      </c>
      <c r="B39" s="2">
        <v>6</v>
      </c>
      <c r="C39" s="2" t="s">
        <v>107</v>
      </c>
      <c r="D39" s="2" t="s">
        <v>80</v>
      </c>
      <c r="E39" s="2" t="s">
        <v>137</v>
      </c>
      <c r="F39" s="2" t="s">
        <v>138</v>
      </c>
      <c r="G39" s="2" t="s">
        <v>139</v>
      </c>
      <c r="H39" s="2" t="s">
        <v>140</v>
      </c>
      <c r="I39" s="2" t="s">
        <v>141</v>
      </c>
      <c r="J39" s="2" t="s">
        <v>20</v>
      </c>
      <c r="K39" s="2"/>
      <c r="L39" s="2">
        <v>0</v>
      </c>
      <c r="M39" s="2">
        <v>0</v>
      </c>
      <c r="N39" s="2"/>
    </row>
    <row r="40" spans="1:14" x14ac:dyDescent="0.35">
      <c r="A40" s="2">
        <v>39</v>
      </c>
      <c r="B40" s="2">
        <v>6</v>
      </c>
      <c r="C40" s="2" t="s">
        <v>107</v>
      </c>
      <c r="D40" s="2" t="s">
        <v>80</v>
      </c>
      <c r="E40" s="2" t="s">
        <v>142</v>
      </c>
      <c r="F40" s="2" t="s">
        <v>143</v>
      </c>
      <c r="G40" s="2" t="s">
        <v>144</v>
      </c>
      <c r="H40" s="2" t="s">
        <v>145</v>
      </c>
      <c r="I40" s="2" t="s">
        <v>146</v>
      </c>
      <c r="J40" s="2" t="s">
        <v>20</v>
      </c>
      <c r="K40" s="2"/>
      <c r="L40" s="2">
        <v>0</v>
      </c>
      <c r="M40" s="2">
        <v>0</v>
      </c>
      <c r="N40" s="2"/>
    </row>
    <row r="41" spans="1:14" x14ac:dyDescent="0.35">
      <c r="A41" s="2">
        <v>40</v>
      </c>
      <c r="B41" s="2">
        <v>6</v>
      </c>
      <c r="C41" s="2" t="s">
        <v>107</v>
      </c>
      <c r="D41" s="2" t="s">
        <v>80</v>
      </c>
      <c r="E41" s="2" t="s">
        <v>142</v>
      </c>
      <c r="F41" s="2" t="s">
        <v>147</v>
      </c>
      <c r="G41" s="2" t="s">
        <v>148</v>
      </c>
      <c r="H41" s="2" t="s">
        <v>149</v>
      </c>
      <c r="I41" s="2" t="s">
        <v>132</v>
      </c>
      <c r="J41" s="2" t="s">
        <v>20</v>
      </c>
      <c r="K41" s="2"/>
      <c r="L41" s="2">
        <v>0</v>
      </c>
      <c r="M41" s="2">
        <v>0</v>
      </c>
      <c r="N41" s="2"/>
    </row>
    <row r="42" spans="1:14" x14ac:dyDescent="0.35">
      <c r="A42" s="2">
        <v>41</v>
      </c>
      <c r="B42" s="2">
        <v>6</v>
      </c>
      <c r="C42" s="2" t="s">
        <v>107</v>
      </c>
      <c r="D42" s="2" t="s">
        <v>80</v>
      </c>
      <c r="E42" s="2" t="s">
        <v>150</v>
      </c>
      <c r="F42" s="2" t="s">
        <v>151</v>
      </c>
      <c r="G42" s="2" t="s">
        <v>152</v>
      </c>
      <c r="H42" s="2" t="s">
        <v>153</v>
      </c>
      <c r="I42" s="2" t="s">
        <v>154</v>
      </c>
      <c r="J42" s="2" t="s">
        <v>20</v>
      </c>
      <c r="K42" s="2"/>
      <c r="L42" s="2">
        <v>0</v>
      </c>
      <c r="M42" s="2">
        <v>0</v>
      </c>
      <c r="N42" s="2"/>
    </row>
    <row r="43" spans="1:14" x14ac:dyDescent="0.35">
      <c r="A43" s="2">
        <v>42</v>
      </c>
      <c r="B43" s="2">
        <v>6</v>
      </c>
      <c r="C43" s="2" t="s">
        <v>107</v>
      </c>
      <c r="D43" s="2" t="s">
        <v>83</v>
      </c>
      <c r="E43" s="2" t="s">
        <v>84</v>
      </c>
      <c r="F43" s="2" t="s">
        <v>155</v>
      </c>
      <c r="G43" s="2" t="s">
        <v>156</v>
      </c>
      <c r="H43" s="2" t="s">
        <v>157</v>
      </c>
      <c r="I43" s="2" t="s">
        <v>158</v>
      </c>
      <c r="J43" s="2" t="s">
        <v>20</v>
      </c>
      <c r="K43" s="2"/>
      <c r="L43" s="2">
        <v>0</v>
      </c>
      <c r="M43" s="2">
        <v>0</v>
      </c>
      <c r="N43" s="2"/>
    </row>
    <row r="44" spans="1:14" x14ac:dyDescent="0.35">
      <c r="A44" s="2">
        <v>43</v>
      </c>
      <c r="B44" s="2">
        <v>7</v>
      </c>
      <c r="C44" s="2" t="s">
        <v>107</v>
      </c>
      <c r="D44" s="2" t="s">
        <v>80</v>
      </c>
      <c r="E44" s="2" t="s">
        <v>84</v>
      </c>
      <c r="F44" s="2" t="s">
        <v>159</v>
      </c>
      <c r="G44" s="2" t="s">
        <v>160</v>
      </c>
      <c r="H44" s="2" t="s">
        <v>17</v>
      </c>
      <c r="I44" s="2" t="s">
        <v>161</v>
      </c>
      <c r="J44" s="2" t="s">
        <v>20</v>
      </c>
      <c r="K44" s="2"/>
      <c r="L44" s="2">
        <v>0</v>
      </c>
      <c r="M44" s="2">
        <v>0</v>
      </c>
      <c r="N44" s="2"/>
    </row>
    <row r="45" spans="1:14" x14ac:dyDescent="0.35">
      <c r="A45" s="2">
        <v>44</v>
      </c>
      <c r="B45" s="2">
        <v>7</v>
      </c>
      <c r="C45" s="2" t="s">
        <v>107</v>
      </c>
      <c r="D45" s="2" t="s">
        <v>80</v>
      </c>
      <c r="E45" s="2" t="s">
        <v>84</v>
      </c>
      <c r="F45" s="2" t="s">
        <v>162</v>
      </c>
      <c r="G45" s="2" t="s">
        <v>163</v>
      </c>
      <c r="H45" s="2" t="s">
        <v>17</v>
      </c>
      <c r="I45" s="2" t="s">
        <v>161</v>
      </c>
      <c r="J45" s="2" t="s">
        <v>20</v>
      </c>
      <c r="K45" s="2"/>
      <c r="L45" s="2">
        <v>0</v>
      </c>
      <c r="M45" s="2">
        <v>0</v>
      </c>
      <c r="N45" s="2"/>
    </row>
    <row r="46" spans="1:14" x14ac:dyDescent="0.35">
      <c r="A46" s="2">
        <v>45</v>
      </c>
      <c r="B46" s="2">
        <v>7</v>
      </c>
      <c r="C46" s="2" t="s">
        <v>107</v>
      </c>
      <c r="D46" s="2" t="s">
        <v>80</v>
      </c>
      <c r="E46" s="2" t="s">
        <v>84</v>
      </c>
      <c r="F46" s="2" t="s">
        <v>164</v>
      </c>
      <c r="G46" s="2" t="s">
        <v>165</v>
      </c>
      <c r="H46" s="2" t="s">
        <v>17</v>
      </c>
      <c r="I46" s="2" t="s">
        <v>161</v>
      </c>
      <c r="J46" s="2" t="s">
        <v>20</v>
      </c>
      <c r="K46" s="2"/>
      <c r="L46" s="2">
        <v>0</v>
      </c>
      <c r="M46" s="2">
        <v>0</v>
      </c>
      <c r="N46" s="2"/>
    </row>
    <row r="47" spans="1:14" x14ac:dyDescent="0.35">
      <c r="A47" s="2">
        <v>46</v>
      </c>
      <c r="B47" s="2">
        <v>7</v>
      </c>
      <c r="C47" s="2" t="s">
        <v>107</v>
      </c>
      <c r="D47" s="2" t="s">
        <v>80</v>
      </c>
      <c r="E47" s="2" t="s">
        <v>84</v>
      </c>
      <c r="F47" s="2" t="s">
        <v>166</v>
      </c>
      <c r="G47" s="2" t="s">
        <v>167</v>
      </c>
      <c r="H47" s="2" t="s">
        <v>17</v>
      </c>
      <c r="I47" s="2" t="s">
        <v>161</v>
      </c>
      <c r="J47" s="2" t="s">
        <v>20</v>
      </c>
      <c r="K47" s="2"/>
      <c r="L47" s="2">
        <v>0</v>
      </c>
      <c r="M47" s="2">
        <v>0</v>
      </c>
      <c r="N47" s="2"/>
    </row>
    <row r="48" spans="1:14" x14ac:dyDescent="0.35">
      <c r="A48" s="2">
        <v>47</v>
      </c>
      <c r="B48" s="2">
        <v>7</v>
      </c>
      <c r="C48" s="2" t="s">
        <v>107</v>
      </c>
      <c r="D48" s="2" t="s">
        <v>80</v>
      </c>
      <c r="E48" s="2" t="s">
        <v>84</v>
      </c>
      <c r="F48" s="2" t="s">
        <v>168</v>
      </c>
      <c r="G48" s="2" t="s">
        <v>79</v>
      </c>
      <c r="H48" s="2" t="s">
        <v>17</v>
      </c>
      <c r="I48" s="2" t="s">
        <v>161</v>
      </c>
      <c r="J48" s="2" t="s">
        <v>20</v>
      </c>
      <c r="K48" s="2"/>
      <c r="L48" s="2">
        <v>0</v>
      </c>
      <c r="M48" s="2">
        <v>0</v>
      </c>
      <c r="N48" s="2"/>
    </row>
    <row r="49" spans="1:14" x14ac:dyDescent="0.35">
      <c r="A49" s="2">
        <v>48</v>
      </c>
      <c r="B49" s="2">
        <v>7</v>
      </c>
      <c r="C49" s="2" t="s">
        <v>107</v>
      </c>
      <c r="D49" s="2" t="s">
        <v>80</v>
      </c>
      <c r="E49" s="2" t="s">
        <v>84</v>
      </c>
      <c r="F49" s="2" t="s">
        <v>169</v>
      </c>
      <c r="G49" s="2" t="s">
        <v>170</v>
      </c>
      <c r="H49" s="2" t="s">
        <v>17</v>
      </c>
      <c r="I49" s="2" t="s">
        <v>161</v>
      </c>
      <c r="J49" s="2" t="s">
        <v>20</v>
      </c>
      <c r="K49" s="2"/>
      <c r="L49" s="2">
        <v>0</v>
      </c>
      <c r="M49" s="2">
        <v>0</v>
      </c>
      <c r="N49" s="2"/>
    </row>
    <row r="50" spans="1:14" x14ac:dyDescent="0.35">
      <c r="A50" s="2">
        <v>49</v>
      </c>
      <c r="B50" s="2">
        <v>7</v>
      </c>
      <c r="C50" s="2" t="s">
        <v>107</v>
      </c>
      <c r="D50" s="2" t="s">
        <v>83</v>
      </c>
      <c r="E50" s="2" t="s">
        <v>84</v>
      </c>
      <c r="F50" s="2" t="s">
        <v>171</v>
      </c>
      <c r="G50" s="2" t="s">
        <v>172</v>
      </c>
      <c r="H50" s="2" t="s">
        <v>62</v>
      </c>
      <c r="I50" s="2" t="s">
        <v>173</v>
      </c>
      <c r="J50" s="2" t="s">
        <v>20</v>
      </c>
      <c r="K50" s="2"/>
      <c r="L50" s="2">
        <v>0</v>
      </c>
      <c r="M50" s="2">
        <v>0</v>
      </c>
      <c r="N50" s="2"/>
    </row>
    <row r="51" spans="1:14" x14ac:dyDescent="0.35">
      <c r="A51" s="2">
        <v>50</v>
      </c>
      <c r="B51" s="2">
        <v>8</v>
      </c>
      <c r="C51" s="2" t="s">
        <v>107</v>
      </c>
      <c r="D51" s="2" t="s">
        <v>80</v>
      </c>
      <c r="E51" s="2" t="s">
        <v>174</v>
      </c>
      <c r="F51" s="2" t="s">
        <v>17</v>
      </c>
      <c r="G51" s="2" t="s">
        <v>175</v>
      </c>
      <c r="H51" s="2" t="s">
        <v>17</v>
      </c>
      <c r="I51" s="2" t="s">
        <v>176</v>
      </c>
      <c r="J51" s="2" t="s">
        <v>20</v>
      </c>
      <c r="K51" s="2"/>
      <c r="L51" s="2">
        <v>0</v>
      </c>
      <c r="M51" s="2">
        <v>0</v>
      </c>
      <c r="N51" s="2"/>
    </row>
    <row r="52" spans="1:14" x14ac:dyDescent="0.35">
      <c r="A52" s="2">
        <v>51</v>
      </c>
      <c r="B52" s="2">
        <v>8</v>
      </c>
      <c r="C52" s="2" t="s">
        <v>107</v>
      </c>
      <c r="D52" s="2" t="s">
        <v>80</v>
      </c>
      <c r="E52" s="2" t="s">
        <v>174</v>
      </c>
      <c r="F52" s="2" t="s">
        <v>17</v>
      </c>
      <c r="G52" s="2" t="s">
        <v>177</v>
      </c>
      <c r="H52" s="2" t="s">
        <v>178</v>
      </c>
      <c r="I52" s="2" t="s">
        <v>179</v>
      </c>
      <c r="J52" s="2" t="s">
        <v>20</v>
      </c>
      <c r="K52" s="2"/>
      <c r="L52" s="2">
        <v>0</v>
      </c>
      <c r="M52" s="2">
        <v>0</v>
      </c>
      <c r="N52" s="2"/>
    </row>
    <row r="53" spans="1:14" x14ac:dyDescent="0.35">
      <c r="A53" s="2">
        <v>52</v>
      </c>
      <c r="B53" s="2">
        <v>8</v>
      </c>
      <c r="C53" s="2" t="s">
        <v>107</v>
      </c>
      <c r="D53" s="2" t="s">
        <v>80</v>
      </c>
      <c r="E53" s="2" t="s">
        <v>174</v>
      </c>
      <c r="F53" s="2" t="s">
        <v>17</v>
      </c>
      <c r="G53" s="2" t="s">
        <v>180</v>
      </c>
      <c r="H53" s="2" t="s">
        <v>181</v>
      </c>
      <c r="I53" s="2" t="s">
        <v>182</v>
      </c>
      <c r="J53" s="2" t="s">
        <v>20</v>
      </c>
      <c r="K53" s="2"/>
      <c r="L53" s="2">
        <v>0</v>
      </c>
      <c r="M53" s="2">
        <v>0</v>
      </c>
      <c r="N53" s="2"/>
    </row>
    <row r="54" spans="1:14" x14ac:dyDescent="0.35">
      <c r="A54" s="2">
        <v>53</v>
      </c>
      <c r="B54" s="2">
        <v>8</v>
      </c>
      <c r="C54" s="2" t="s">
        <v>107</v>
      </c>
      <c r="D54" s="2" t="s">
        <v>183</v>
      </c>
      <c r="E54" s="2" t="s">
        <v>184</v>
      </c>
      <c r="F54" s="2" t="s">
        <v>17</v>
      </c>
      <c r="G54" s="2" t="s">
        <v>185</v>
      </c>
      <c r="H54" s="2" t="s">
        <v>186</v>
      </c>
      <c r="I54" s="2" t="s">
        <v>182</v>
      </c>
      <c r="J54" s="2" t="s">
        <v>20</v>
      </c>
      <c r="K54" s="2"/>
      <c r="L54" s="2">
        <v>0</v>
      </c>
      <c r="M54" s="2">
        <v>0</v>
      </c>
      <c r="N54" s="2"/>
    </row>
    <row r="55" spans="1:14" x14ac:dyDescent="0.35">
      <c r="A55" s="2">
        <v>54</v>
      </c>
      <c r="B55" s="2">
        <v>8</v>
      </c>
      <c r="C55" s="2" t="s">
        <v>107</v>
      </c>
      <c r="D55" s="2" t="s">
        <v>183</v>
      </c>
      <c r="E55" s="2" t="s">
        <v>184</v>
      </c>
      <c r="F55" s="2" t="s">
        <v>17</v>
      </c>
      <c r="G55" s="2" t="s">
        <v>187</v>
      </c>
      <c r="H55" s="2" t="s">
        <v>186</v>
      </c>
      <c r="I55" s="2" t="s">
        <v>182</v>
      </c>
      <c r="J55" s="2" t="s">
        <v>20</v>
      </c>
      <c r="K55" s="2"/>
      <c r="L55" s="2">
        <v>0</v>
      </c>
      <c r="M55" s="2">
        <v>0</v>
      </c>
      <c r="N55" s="2"/>
    </row>
    <row r="56" spans="1:14" x14ac:dyDescent="0.35">
      <c r="A56" s="2">
        <v>55</v>
      </c>
      <c r="B56" s="2">
        <v>8</v>
      </c>
      <c r="C56" s="2" t="s">
        <v>107</v>
      </c>
      <c r="D56" s="2" t="s">
        <v>183</v>
      </c>
      <c r="E56" s="2" t="s">
        <v>184</v>
      </c>
      <c r="F56" s="2" t="s">
        <v>17</v>
      </c>
      <c r="G56" s="2" t="s">
        <v>188</v>
      </c>
      <c r="H56" s="2" t="s">
        <v>186</v>
      </c>
      <c r="I56" s="2" t="s">
        <v>182</v>
      </c>
      <c r="J56" s="2" t="s">
        <v>20</v>
      </c>
      <c r="K56" s="2"/>
      <c r="L56" s="2">
        <v>0</v>
      </c>
      <c r="M56" s="2">
        <v>0</v>
      </c>
      <c r="N56" s="2"/>
    </row>
    <row r="57" spans="1:14" x14ac:dyDescent="0.35">
      <c r="A57" s="2">
        <v>56</v>
      </c>
      <c r="B57" s="2">
        <v>8</v>
      </c>
      <c r="C57" s="2" t="s">
        <v>107</v>
      </c>
      <c r="D57" s="2" t="s">
        <v>83</v>
      </c>
      <c r="E57" s="2" t="s">
        <v>189</v>
      </c>
      <c r="F57" s="2" t="s">
        <v>17</v>
      </c>
      <c r="G57" s="2" t="s">
        <v>190</v>
      </c>
      <c r="H57" s="2" t="s">
        <v>105</v>
      </c>
      <c r="I57" s="2" t="s">
        <v>191</v>
      </c>
      <c r="J57" s="2" t="s">
        <v>20</v>
      </c>
      <c r="K57" s="2"/>
      <c r="L57" s="2">
        <v>0</v>
      </c>
      <c r="M57" s="2">
        <v>0</v>
      </c>
      <c r="N57" s="2"/>
    </row>
    <row r="58" spans="1:14" x14ac:dyDescent="0.35">
      <c r="A58" s="2">
        <v>57</v>
      </c>
      <c r="B58" s="2">
        <v>9</v>
      </c>
      <c r="C58" s="2" t="s">
        <v>192</v>
      </c>
      <c r="D58" s="2" t="s">
        <v>80</v>
      </c>
      <c r="E58" s="2" t="s">
        <v>84</v>
      </c>
      <c r="F58" s="2" t="s">
        <v>17</v>
      </c>
      <c r="G58" s="2" t="s">
        <v>193</v>
      </c>
      <c r="H58" s="2" t="s">
        <v>17</v>
      </c>
      <c r="I58" s="2" t="s">
        <v>194</v>
      </c>
      <c r="J58" s="2" t="s">
        <v>20</v>
      </c>
      <c r="K58" s="2"/>
      <c r="L58" s="2">
        <v>0</v>
      </c>
      <c r="M58" s="2">
        <v>0</v>
      </c>
      <c r="N58" s="2"/>
    </row>
    <row r="59" spans="1:14" x14ac:dyDescent="0.35">
      <c r="A59" s="2">
        <v>58</v>
      </c>
      <c r="B59" s="2">
        <v>9</v>
      </c>
      <c r="C59" s="2" t="s">
        <v>192</v>
      </c>
      <c r="D59" s="2" t="s">
        <v>80</v>
      </c>
      <c r="E59" s="2" t="s">
        <v>84</v>
      </c>
      <c r="F59" s="2" t="s">
        <v>17</v>
      </c>
      <c r="G59" s="2" t="s">
        <v>195</v>
      </c>
      <c r="H59" s="2" t="s">
        <v>196</v>
      </c>
      <c r="I59" s="2" t="s">
        <v>194</v>
      </c>
      <c r="J59" s="2" t="s">
        <v>20</v>
      </c>
      <c r="K59" s="2"/>
      <c r="L59" s="2">
        <v>0</v>
      </c>
      <c r="M59" s="2">
        <v>0</v>
      </c>
      <c r="N59" s="2"/>
    </row>
    <row r="60" spans="1:14" x14ac:dyDescent="0.35">
      <c r="A60" s="2">
        <v>59</v>
      </c>
      <c r="B60" s="2">
        <v>9</v>
      </c>
      <c r="C60" s="2" t="s">
        <v>192</v>
      </c>
      <c r="D60" s="2" t="s">
        <v>80</v>
      </c>
      <c r="E60" s="2" t="s">
        <v>84</v>
      </c>
      <c r="F60" s="2" t="s">
        <v>197</v>
      </c>
      <c r="G60" s="2" t="s">
        <v>198</v>
      </c>
      <c r="H60" s="2" t="s">
        <v>199</v>
      </c>
      <c r="I60" s="2" t="s">
        <v>200</v>
      </c>
      <c r="J60" s="2" t="s">
        <v>20</v>
      </c>
      <c r="K60" s="2"/>
      <c r="L60" s="2">
        <v>0</v>
      </c>
      <c r="M60" s="2">
        <v>0</v>
      </c>
      <c r="N60" s="2"/>
    </row>
    <row r="61" spans="1:14" x14ac:dyDescent="0.35">
      <c r="A61" s="2">
        <v>60</v>
      </c>
      <c r="B61" s="2">
        <v>9</v>
      </c>
      <c r="C61" s="2" t="s">
        <v>192</v>
      </c>
      <c r="D61" s="2" t="s">
        <v>80</v>
      </c>
      <c r="E61" s="2" t="s">
        <v>84</v>
      </c>
      <c r="F61" s="2" t="s">
        <v>201</v>
      </c>
      <c r="G61" s="2" t="s">
        <v>202</v>
      </c>
      <c r="H61" s="2" t="s">
        <v>196</v>
      </c>
      <c r="I61" s="2" t="s">
        <v>194</v>
      </c>
      <c r="J61" s="2" t="s">
        <v>20</v>
      </c>
      <c r="K61" s="2"/>
      <c r="L61" s="2">
        <v>0</v>
      </c>
      <c r="M61" s="2">
        <v>0</v>
      </c>
      <c r="N61" s="2"/>
    </row>
    <row r="62" spans="1:14" x14ac:dyDescent="0.35">
      <c r="A62" s="2">
        <v>61</v>
      </c>
      <c r="B62" s="2">
        <v>9</v>
      </c>
      <c r="C62" s="2" t="s">
        <v>192</v>
      </c>
      <c r="D62" s="2" t="s">
        <v>80</v>
      </c>
      <c r="E62" s="2" t="s">
        <v>84</v>
      </c>
      <c r="F62" s="2" t="s">
        <v>203</v>
      </c>
      <c r="G62" s="2" t="s">
        <v>204</v>
      </c>
      <c r="H62" s="2" t="s">
        <v>205</v>
      </c>
      <c r="I62" s="2" t="s">
        <v>206</v>
      </c>
      <c r="J62" s="2" t="s">
        <v>20</v>
      </c>
      <c r="K62" s="2"/>
      <c r="L62" s="2">
        <v>0</v>
      </c>
      <c r="M62" s="2">
        <v>0</v>
      </c>
      <c r="N62" s="2"/>
    </row>
    <row r="63" spans="1:14" x14ac:dyDescent="0.35">
      <c r="A63" s="2">
        <v>62</v>
      </c>
      <c r="B63" s="2">
        <v>9</v>
      </c>
      <c r="C63" s="2" t="s">
        <v>192</v>
      </c>
      <c r="D63" s="2" t="s">
        <v>80</v>
      </c>
      <c r="E63" s="2" t="s">
        <v>84</v>
      </c>
      <c r="F63" s="2" t="s">
        <v>17</v>
      </c>
      <c r="G63" s="2" t="s">
        <v>207</v>
      </c>
      <c r="H63" s="2" t="s">
        <v>208</v>
      </c>
      <c r="I63" s="2" t="s">
        <v>194</v>
      </c>
      <c r="J63" s="2" t="s">
        <v>20</v>
      </c>
      <c r="K63" s="2"/>
      <c r="L63" s="2">
        <v>0</v>
      </c>
      <c r="M63" s="2">
        <v>0</v>
      </c>
      <c r="N63" s="2"/>
    </row>
    <row r="64" spans="1:14" x14ac:dyDescent="0.35">
      <c r="A64" s="2">
        <v>63</v>
      </c>
      <c r="B64" s="2">
        <v>9</v>
      </c>
      <c r="C64" s="2" t="s">
        <v>192</v>
      </c>
      <c r="D64" s="2" t="s">
        <v>209</v>
      </c>
      <c r="E64" s="2" t="s">
        <v>84</v>
      </c>
      <c r="F64" s="2" t="s">
        <v>17</v>
      </c>
      <c r="G64" s="2" t="s">
        <v>210</v>
      </c>
      <c r="H64" s="2" t="s">
        <v>211</v>
      </c>
      <c r="I64" s="2" t="s">
        <v>212</v>
      </c>
      <c r="J64" s="2" t="s">
        <v>20</v>
      </c>
      <c r="K64" s="2"/>
      <c r="L64" s="2">
        <v>0</v>
      </c>
      <c r="M64" s="2">
        <v>0</v>
      </c>
      <c r="N64" s="2"/>
    </row>
    <row r="65" spans="1:14" x14ac:dyDescent="0.35">
      <c r="A65" s="2">
        <v>64</v>
      </c>
      <c r="B65" s="2">
        <v>10</v>
      </c>
      <c r="C65" s="2" t="s">
        <v>192</v>
      </c>
      <c r="D65" s="2" t="s">
        <v>213</v>
      </c>
      <c r="E65" s="2" t="s">
        <v>84</v>
      </c>
      <c r="F65" s="2" t="s">
        <v>17</v>
      </c>
      <c r="G65" s="2" t="s">
        <v>214</v>
      </c>
      <c r="H65" s="2" t="s">
        <v>211</v>
      </c>
      <c r="I65" s="2" t="s">
        <v>212</v>
      </c>
      <c r="J65" s="2" t="s">
        <v>20</v>
      </c>
      <c r="K65" s="2"/>
      <c r="L65" s="2">
        <v>0</v>
      </c>
      <c r="M65" s="2">
        <v>0</v>
      </c>
      <c r="N65" s="2"/>
    </row>
    <row r="66" spans="1:14" x14ac:dyDescent="0.35">
      <c r="A66" s="2">
        <v>65</v>
      </c>
      <c r="B66" s="2">
        <v>10</v>
      </c>
      <c r="C66" s="2" t="s">
        <v>192</v>
      </c>
      <c r="D66" s="2" t="s">
        <v>213</v>
      </c>
      <c r="E66" s="2" t="s">
        <v>84</v>
      </c>
      <c r="F66" s="2" t="s">
        <v>17</v>
      </c>
      <c r="G66" s="2" t="s">
        <v>215</v>
      </c>
      <c r="H66" s="2" t="s">
        <v>211</v>
      </c>
      <c r="I66" s="2" t="s">
        <v>212</v>
      </c>
      <c r="J66" s="2" t="s">
        <v>20</v>
      </c>
      <c r="K66" s="2"/>
      <c r="L66" s="2">
        <v>0</v>
      </c>
      <c r="M66" s="2">
        <v>0</v>
      </c>
      <c r="N66" s="2"/>
    </row>
    <row r="67" spans="1:14" x14ac:dyDescent="0.35">
      <c r="A67" s="2">
        <v>66</v>
      </c>
      <c r="B67" s="2">
        <v>10</v>
      </c>
      <c r="C67" s="2" t="s">
        <v>192</v>
      </c>
      <c r="D67" s="2" t="s">
        <v>213</v>
      </c>
      <c r="E67" s="2" t="s">
        <v>84</v>
      </c>
      <c r="F67" s="2" t="s">
        <v>17</v>
      </c>
      <c r="G67" s="2" t="s">
        <v>216</v>
      </c>
      <c r="H67" s="2" t="s">
        <v>211</v>
      </c>
      <c r="I67" s="2" t="s">
        <v>212</v>
      </c>
      <c r="J67" s="2" t="s">
        <v>20</v>
      </c>
      <c r="K67" s="2"/>
      <c r="L67" s="2">
        <v>0</v>
      </c>
      <c r="M67" s="2">
        <v>0</v>
      </c>
      <c r="N67" s="2"/>
    </row>
    <row r="68" spans="1:14" x14ac:dyDescent="0.35">
      <c r="A68" s="2">
        <v>67</v>
      </c>
      <c r="B68" s="2">
        <v>10</v>
      </c>
      <c r="C68" s="2" t="s">
        <v>192</v>
      </c>
      <c r="D68" s="2" t="s">
        <v>213</v>
      </c>
      <c r="E68" s="2" t="s">
        <v>84</v>
      </c>
      <c r="F68" s="2" t="s">
        <v>17</v>
      </c>
      <c r="G68" s="2" t="s">
        <v>217</v>
      </c>
      <c r="H68" s="2" t="s">
        <v>211</v>
      </c>
      <c r="I68" s="2" t="s">
        <v>212</v>
      </c>
      <c r="J68" s="2" t="s">
        <v>20</v>
      </c>
      <c r="K68" s="2"/>
      <c r="L68" s="2">
        <v>0</v>
      </c>
      <c r="M68" s="2">
        <v>0</v>
      </c>
      <c r="N68" s="2"/>
    </row>
    <row r="69" spans="1:14" x14ac:dyDescent="0.35">
      <c r="A69" s="2">
        <v>68</v>
      </c>
      <c r="B69" s="2">
        <v>10</v>
      </c>
      <c r="C69" s="2" t="s">
        <v>192</v>
      </c>
      <c r="D69" s="2" t="s">
        <v>213</v>
      </c>
      <c r="E69" s="2" t="s">
        <v>84</v>
      </c>
      <c r="F69" s="2" t="s">
        <v>17</v>
      </c>
      <c r="G69" s="2" t="s">
        <v>218</v>
      </c>
      <c r="H69" s="2" t="s">
        <v>211</v>
      </c>
      <c r="I69" s="2" t="s">
        <v>212</v>
      </c>
      <c r="J69" s="2" t="s">
        <v>20</v>
      </c>
      <c r="K69" s="2"/>
      <c r="L69" s="2">
        <v>0</v>
      </c>
      <c r="M69" s="2">
        <v>0</v>
      </c>
      <c r="N69" s="2"/>
    </row>
    <row r="70" spans="1:14" x14ac:dyDescent="0.35">
      <c r="A70" s="2">
        <v>69</v>
      </c>
      <c r="B70" s="2">
        <v>10</v>
      </c>
      <c r="C70" s="2" t="s">
        <v>192</v>
      </c>
      <c r="D70" s="2" t="s">
        <v>213</v>
      </c>
      <c r="E70" s="2" t="s">
        <v>84</v>
      </c>
      <c r="F70" s="2" t="s">
        <v>17</v>
      </c>
      <c r="G70" s="2" t="s">
        <v>219</v>
      </c>
      <c r="H70" s="2" t="s">
        <v>211</v>
      </c>
      <c r="I70" s="2" t="s">
        <v>212</v>
      </c>
      <c r="J70" s="2" t="s">
        <v>20</v>
      </c>
      <c r="K70" s="2"/>
      <c r="L70" s="2">
        <v>0</v>
      </c>
      <c r="M70" s="2">
        <v>0</v>
      </c>
      <c r="N70" s="2"/>
    </row>
    <row r="71" spans="1:14" x14ac:dyDescent="0.35">
      <c r="A71" s="2">
        <v>70</v>
      </c>
      <c r="B71" s="2">
        <v>10</v>
      </c>
      <c r="C71" s="2" t="s">
        <v>192</v>
      </c>
      <c r="D71" s="2" t="s">
        <v>80</v>
      </c>
      <c r="E71" s="2" t="s">
        <v>84</v>
      </c>
      <c r="F71" s="2" t="s">
        <v>17</v>
      </c>
      <c r="G71" s="2" t="s">
        <v>220</v>
      </c>
      <c r="H71" s="2" t="s">
        <v>105</v>
      </c>
      <c r="I71" s="2" t="s">
        <v>212</v>
      </c>
      <c r="J71" s="2" t="s">
        <v>20</v>
      </c>
      <c r="K71" s="2"/>
      <c r="L71" s="2">
        <v>0</v>
      </c>
      <c r="M71" s="2">
        <v>0</v>
      </c>
      <c r="N71" s="2"/>
    </row>
    <row r="72" spans="1:14" x14ac:dyDescent="0.35">
      <c r="A72" s="2">
        <v>71</v>
      </c>
      <c r="B72" s="2">
        <v>11</v>
      </c>
      <c r="C72" s="2" t="s">
        <v>221</v>
      </c>
      <c r="D72" s="2" t="s">
        <v>80</v>
      </c>
      <c r="E72" s="2" t="s">
        <v>84</v>
      </c>
      <c r="F72" s="2" t="s">
        <v>17</v>
      </c>
      <c r="G72" s="2" t="s">
        <v>222</v>
      </c>
      <c r="H72" s="2" t="s">
        <v>17</v>
      </c>
      <c r="I72" s="2" t="s">
        <v>223</v>
      </c>
      <c r="J72" s="2" t="s">
        <v>20</v>
      </c>
      <c r="K72" s="2"/>
      <c r="L72" s="2">
        <v>0</v>
      </c>
      <c r="M72" s="2">
        <v>0</v>
      </c>
      <c r="N72" s="2"/>
    </row>
    <row r="73" spans="1:14" x14ac:dyDescent="0.35">
      <c r="A73" s="2">
        <v>72</v>
      </c>
      <c r="B73" s="2">
        <v>11</v>
      </c>
      <c r="C73" s="2" t="s">
        <v>221</v>
      </c>
      <c r="D73" s="2" t="s">
        <v>80</v>
      </c>
      <c r="E73" s="2" t="s">
        <v>84</v>
      </c>
      <c r="F73" s="2" t="s">
        <v>17</v>
      </c>
      <c r="G73" s="2" t="s">
        <v>224</v>
      </c>
      <c r="H73" s="2" t="s">
        <v>17</v>
      </c>
      <c r="I73" s="2" t="s">
        <v>223</v>
      </c>
      <c r="J73" s="2" t="s">
        <v>20</v>
      </c>
      <c r="K73" s="2"/>
      <c r="L73" s="2">
        <v>0</v>
      </c>
      <c r="M73" s="2">
        <v>0</v>
      </c>
      <c r="N73" s="2"/>
    </row>
    <row r="74" spans="1:14" x14ac:dyDescent="0.35">
      <c r="A74" s="2">
        <v>73</v>
      </c>
      <c r="B74" s="2">
        <v>11</v>
      </c>
      <c r="C74" s="2" t="s">
        <v>221</v>
      </c>
      <c r="D74" s="2" t="s">
        <v>80</v>
      </c>
      <c r="E74" s="2" t="s">
        <v>84</v>
      </c>
      <c r="F74" s="2" t="s">
        <v>17</v>
      </c>
      <c r="G74" s="2" t="s">
        <v>225</v>
      </c>
      <c r="H74" s="2" t="s">
        <v>17</v>
      </c>
      <c r="I74" s="2" t="s">
        <v>226</v>
      </c>
      <c r="J74" s="2" t="s">
        <v>20</v>
      </c>
      <c r="K74" s="2"/>
      <c r="L74" s="2">
        <v>0</v>
      </c>
      <c r="M74" s="2">
        <v>0</v>
      </c>
      <c r="N74" s="2"/>
    </row>
    <row r="75" spans="1:14" x14ac:dyDescent="0.35">
      <c r="A75" s="2">
        <v>74</v>
      </c>
      <c r="B75" s="2">
        <v>11</v>
      </c>
      <c r="C75" s="2" t="s">
        <v>221</v>
      </c>
      <c r="D75" s="2" t="s">
        <v>80</v>
      </c>
      <c r="E75" s="2" t="s">
        <v>84</v>
      </c>
      <c r="F75" s="2" t="s">
        <v>227</v>
      </c>
      <c r="G75" s="2" t="s">
        <v>228</v>
      </c>
      <c r="H75" s="2" t="s">
        <v>17</v>
      </c>
      <c r="I75" s="2" t="s">
        <v>226</v>
      </c>
      <c r="J75" s="2" t="s">
        <v>20</v>
      </c>
      <c r="K75" s="2"/>
      <c r="L75" s="2">
        <v>0</v>
      </c>
      <c r="M75" s="2">
        <v>0</v>
      </c>
      <c r="N75" s="2"/>
    </row>
    <row r="76" spans="1:14" x14ac:dyDescent="0.35">
      <c r="A76" s="2">
        <v>75</v>
      </c>
      <c r="B76" s="2">
        <v>11</v>
      </c>
      <c r="C76" s="2" t="s">
        <v>221</v>
      </c>
      <c r="D76" s="2" t="s">
        <v>80</v>
      </c>
      <c r="E76" s="2" t="s">
        <v>84</v>
      </c>
      <c r="F76" s="2" t="s">
        <v>17</v>
      </c>
      <c r="G76" s="2" t="s">
        <v>229</v>
      </c>
      <c r="H76" s="2" t="s">
        <v>230</v>
      </c>
      <c r="I76" s="2" t="s">
        <v>231</v>
      </c>
      <c r="J76" s="2" t="s">
        <v>20</v>
      </c>
      <c r="K76" s="2"/>
      <c r="L76" s="2">
        <v>0</v>
      </c>
      <c r="M76" s="2">
        <v>0</v>
      </c>
      <c r="N76" s="2"/>
    </row>
    <row r="77" spans="1:14" x14ac:dyDescent="0.35">
      <c r="A77" s="2">
        <v>76</v>
      </c>
      <c r="B77" s="2">
        <v>11</v>
      </c>
      <c r="C77" s="2" t="s">
        <v>221</v>
      </c>
      <c r="D77" s="2" t="s">
        <v>80</v>
      </c>
      <c r="E77" s="2" t="s">
        <v>84</v>
      </c>
      <c r="F77" s="2" t="s">
        <v>17</v>
      </c>
      <c r="G77" s="2" t="s">
        <v>232</v>
      </c>
      <c r="H77" s="2" t="s">
        <v>233</v>
      </c>
      <c r="I77" s="2" t="s">
        <v>234</v>
      </c>
      <c r="J77" s="2" t="s">
        <v>20</v>
      </c>
      <c r="K77" s="2"/>
      <c r="L77" s="2">
        <v>0</v>
      </c>
      <c r="M77" s="2">
        <v>0</v>
      </c>
      <c r="N77" s="2"/>
    </row>
    <row r="78" spans="1:14" x14ac:dyDescent="0.35">
      <c r="A78" s="2">
        <v>77</v>
      </c>
      <c r="B78" s="2">
        <v>11</v>
      </c>
      <c r="C78" s="2" t="s">
        <v>221</v>
      </c>
      <c r="D78" s="2" t="s">
        <v>83</v>
      </c>
      <c r="E78" s="2" t="s">
        <v>84</v>
      </c>
      <c r="F78" s="2" t="s">
        <v>67</v>
      </c>
      <c r="G78" s="2" t="s">
        <v>235</v>
      </c>
      <c r="H78" s="2" t="s">
        <v>105</v>
      </c>
      <c r="I78" s="2" t="s">
        <v>236</v>
      </c>
      <c r="J78" s="2" t="s">
        <v>20</v>
      </c>
      <c r="K78" s="2"/>
      <c r="L78" s="2">
        <v>0</v>
      </c>
      <c r="M78" s="2">
        <v>0</v>
      </c>
      <c r="N78" s="2"/>
    </row>
    <row r="79" spans="1:14" x14ac:dyDescent="0.35">
      <c r="A79" s="2">
        <v>78</v>
      </c>
      <c r="B79" s="2">
        <v>12</v>
      </c>
      <c r="C79" s="2" t="s">
        <v>237</v>
      </c>
      <c r="D79" s="2" t="s">
        <v>238</v>
      </c>
      <c r="E79" s="2" t="s">
        <v>84</v>
      </c>
      <c r="F79" s="2" t="s">
        <v>67</v>
      </c>
      <c r="G79" s="2" t="s">
        <v>239</v>
      </c>
      <c r="H79" s="2" t="s">
        <v>17</v>
      </c>
      <c r="I79" s="2" t="s">
        <v>48</v>
      </c>
      <c r="J79" s="2" t="s">
        <v>20</v>
      </c>
      <c r="K79" s="2"/>
      <c r="L79" s="2">
        <v>0</v>
      </c>
      <c r="M79" s="2">
        <v>0</v>
      </c>
      <c r="N79" s="2"/>
    </row>
    <row r="80" spans="1:14" x14ac:dyDescent="0.35">
      <c r="A80" s="2">
        <v>79</v>
      </c>
      <c r="B80" s="2">
        <v>12</v>
      </c>
      <c r="C80" s="2" t="s">
        <v>237</v>
      </c>
      <c r="D80" s="2" t="s">
        <v>240</v>
      </c>
      <c r="E80" s="2" t="s">
        <v>84</v>
      </c>
      <c r="F80" s="2" t="s">
        <v>67</v>
      </c>
      <c r="G80" s="2" t="s">
        <v>241</v>
      </c>
      <c r="H80" s="2" t="s">
        <v>17</v>
      </c>
      <c r="I80" s="2" t="s">
        <v>48</v>
      </c>
      <c r="J80" s="2" t="s">
        <v>20</v>
      </c>
      <c r="K80" s="2"/>
      <c r="L80" s="2">
        <v>0</v>
      </c>
      <c r="M80" s="2">
        <v>0</v>
      </c>
      <c r="N80" s="2"/>
    </row>
    <row r="81" spans="1:14" x14ac:dyDescent="0.35">
      <c r="A81" s="2">
        <v>80</v>
      </c>
      <c r="B81" s="2">
        <v>12</v>
      </c>
      <c r="C81" s="2" t="s">
        <v>237</v>
      </c>
      <c r="D81" s="2" t="s">
        <v>242</v>
      </c>
      <c r="E81" s="2" t="s">
        <v>84</v>
      </c>
      <c r="F81" s="2" t="s">
        <v>67</v>
      </c>
      <c r="G81" s="2" t="s">
        <v>243</v>
      </c>
      <c r="H81" s="2" t="s">
        <v>17</v>
      </c>
      <c r="I81" s="2" t="s">
        <v>48</v>
      </c>
      <c r="J81" s="2" t="s">
        <v>20</v>
      </c>
      <c r="K81" s="2"/>
      <c r="L81" s="2">
        <v>0</v>
      </c>
      <c r="M81" s="2">
        <v>0</v>
      </c>
      <c r="N81" s="2"/>
    </row>
    <row r="82" spans="1:14" x14ac:dyDescent="0.35">
      <c r="A82" s="2">
        <v>81</v>
      </c>
      <c r="B82" s="2">
        <v>12</v>
      </c>
      <c r="C82" s="2" t="s">
        <v>237</v>
      </c>
      <c r="D82" s="2" t="s">
        <v>244</v>
      </c>
      <c r="E82" s="2" t="s">
        <v>84</v>
      </c>
      <c r="F82" s="2" t="s">
        <v>67</v>
      </c>
      <c r="G82" s="2" t="s">
        <v>245</v>
      </c>
      <c r="H82" s="2" t="s">
        <v>17</v>
      </c>
      <c r="I82" s="2" t="s">
        <v>48</v>
      </c>
      <c r="J82" s="2" t="s">
        <v>20</v>
      </c>
      <c r="K82" s="2"/>
      <c r="L82" s="2">
        <v>0</v>
      </c>
      <c r="M82" s="2">
        <v>0</v>
      </c>
      <c r="N82" s="2"/>
    </row>
    <row r="83" spans="1:14" x14ac:dyDescent="0.35">
      <c r="A83" s="2">
        <v>82</v>
      </c>
      <c r="B83" s="2">
        <v>12</v>
      </c>
      <c r="C83" s="2" t="s">
        <v>237</v>
      </c>
      <c r="D83" s="2" t="s">
        <v>246</v>
      </c>
      <c r="E83" s="2" t="s">
        <v>84</v>
      </c>
      <c r="F83" s="2" t="s">
        <v>67</v>
      </c>
      <c r="G83" s="2" t="s">
        <v>247</v>
      </c>
      <c r="H83" s="2" t="s">
        <v>17</v>
      </c>
      <c r="I83" s="2" t="s">
        <v>48</v>
      </c>
      <c r="J83" s="2" t="s">
        <v>20</v>
      </c>
      <c r="K83" s="2"/>
      <c r="L83" s="2">
        <v>0</v>
      </c>
      <c r="M83" s="2">
        <v>0</v>
      </c>
      <c r="N83" s="2"/>
    </row>
    <row r="84" spans="1:14" x14ac:dyDescent="0.35">
      <c r="A84" s="2">
        <v>83</v>
      </c>
      <c r="B84" s="2">
        <v>12</v>
      </c>
      <c r="C84" s="2" t="s">
        <v>237</v>
      </c>
      <c r="D84" s="2" t="s">
        <v>248</v>
      </c>
      <c r="E84" s="2" t="s">
        <v>84</v>
      </c>
      <c r="F84" s="2" t="s">
        <v>67</v>
      </c>
      <c r="G84" s="2" t="s">
        <v>249</v>
      </c>
      <c r="H84" s="2" t="s">
        <v>17</v>
      </c>
      <c r="I84" s="2" t="s">
        <v>48</v>
      </c>
      <c r="J84" s="2" t="s">
        <v>20</v>
      </c>
      <c r="K84" s="2"/>
      <c r="L84" s="2">
        <v>0</v>
      </c>
      <c r="M84" s="2">
        <v>0</v>
      </c>
      <c r="N84" s="2"/>
    </row>
    <row r="85" spans="1:14" x14ac:dyDescent="0.35">
      <c r="A85" s="2">
        <v>84</v>
      </c>
      <c r="B85" s="2">
        <v>12</v>
      </c>
      <c r="C85" s="2" t="s">
        <v>237</v>
      </c>
      <c r="D85" s="2" t="s">
        <v>250</v>
      </c>
      <c r="E85" s="2" t="s">
        <v>84</v>
      </c>
      <c r="F85" s="2" t="s">
        <v>67</v>
      </c>
      <c r="G85" s="2" t="s">
        <v>251</v>
      </c>
      <c r="H85" s="2" t="s">
        <v>252</v>
      </c>
      <c r="I85" s="2" t="s">
        <v>253</v>
      </c>
      <c r="J85" s="2" t="s">
        <v>20</v>
      </c>
      <c r="K85" s="2"/>
      <c r="L85" s="2">
        <v>0</v>
      </c>
      <c r="M85" s="2">
        <v>0</v>
      </c>
      <c r="N85" s="2"/>
    </row>
    <row r="86" spans="1:14" x14ac:dyDescent="0.35">
      <c r="A86" s="2">
        <v>85</v>
      </c>
      <c r="B86" s="2">
        <v>13</v>
      </c>
      <c r="C86" s="2" t="s">
        <v>254</v>
      </c>
      <c r="D86" s="2" t="s">
        <v>255</v>
      </c>
      <c r="E86" s="2" t="s">
        <v>256</v>
      </c>
      <c r="F86" s="2" t="s">
        <v>257</v>
      </c>
      <c r="G86" s="2" t="s">
        <v>258</v>
      </c>
      <c r="H86" s="2" t="s">
        <v>259</v>
      </c>
      <c r="I86" s="2" t="s">
        <v>260</v>
      </c>
      <c r="J86" s="2" t="s">
        <v>20</v>
      </c>
      <c r="K86" s="2"/>
      <c r="L86" s="2">
        <v>0</v>
      </c>
      <c r="M86" s="2">
        <v>0</v>
      </c>
      <c r="N86" s="2"/>
    </row>
    <row r="87" spans="1:14" x14ac:dyDescent="0.35">
      <c r="A87" s="2">
        <v>86</v>
      </c>
      <c r="B87" s="2">
        <v>13</v>
      </c>
      <c r="C87" s="2" t="s">
        <v>254</v>
      </c>
      <c r="D87" s="2" t="s">
        <v>80</v>
      </c>
      <c r="E87" s="2" t="s">
        <v>261</v>
      </c>
      <c r="F87" s="2" t="s">
        <v>67</v>
      </c>
      <c r="G87" s="2" t="s">
        <v>262</v>
      </c>
      <c r="H87" s="2" t="s">
        <v>263</v>
      </c>
      <c r="I87" s="2" t="s">
        <v>264</v>
      </c>
      <c r="J87" s="2" t="s">
        <v>20</v>
      </c>
      <c r="K87" s="2"/>
      <c r="L87" s="2">
        <v>0</v>
      </c>
      <c r="M87" s="2">
        <v>0</v>
      </c>
      <c r="N87" s="2"/>
    </row>
    <row r="88" spans="1:14" x14ac:dyDescent="0.35">
      <c r="A88" s="2">
        <v>87</v>
      </c>
      <c r="B88" s="2">
        <v>13</v>
      </c>
      <c r="C88" s="2" t="s">
        <v>254</v>
      </c>
      <c r="D88" s="2" t="s">
        <v>265</v>
      </c>
      <c r="E88" s="2" t="s">
        <v>266</v>
      </c>
      <c r="F88" s="2" t="s">
        <v>267</v>
      </c>
      <c r="G88" s="2" t="s">
        <v>268</v>
      </c>
      <c r="H88" s="2" t="s">
        <v>269</v>
      </c>
      <c r="I88" s="2" t="s">
        <v>270</v>
      </c>
      <c r="J88" s="2" t="s">
        <v>20</v>
      </c>
      <c r="K88" s="2"/>
      <c r="L88" s="2">
        <v>0</v>
      </c>
      <c r="M88" s="2">
        <v>0</v>
      </c>
      <c r="N88" s="2"/>
    </row>
    <row r="89" spans="1:14" x14ac:dyDescent="0.35">
      <c r="A89" s="2">
        <v>88</v>
      </c>
      <c r="B89" s="2">
        <v>14</v>
      </c>
      <c r="C89" s="2" t="s">
        <v>254</v>
      </c>
      <c r="D89" s="2" t="s">
        <v>271</v>
      </c>
      <c r="E89" s="2" t="s">
        <v>272</v>
      </c>
      <c r="F89" s="2" t="s">
        <v>273</v>
      </c>
      <c r="G89" s="2" t="s">
        <v>274</v>
      </c>
      <c r="H89" s="2" t="s">
        <v>275</v>
      </c>
      <c r="I89" s="2" t="s">
        <v>276</v>
      </c>
      <c r="J89" s="2" t="s">
        <v>20</v>
      </c>
      <c r="K89" s="2"/>
      <c r="L89" s="2">
        <v>0</v>
      </c>
      <c r="M89" s="2">
        <v>0</v>
      </c>
      <c r="N89" s="2"/>
    </row>
    <row r="90" spans="1:14" x14ac:dyDescent="0.35">
      <c r="A90" s="2">
        <v>89</v>
      </c>
      <c r="B90" s="2">
        <v>14</v>
      </c>
      <c r="C90" s="2" t="s">
        <v>254</v>
      </c>
      <c r="D90" s="2" t="s">
        <v>265</v>
      </c>
      <c r="E90" s="2" t="s">
        <v>266</v>
      </c>
      <c r="F90" s="2" t="s">
        <v>267</v>
      </c>
      <c r="G90" s="2" t="s">
        <v>277</v>
      </c>
      <c r="H90" s="2" t="s">
        <v>278</v>
      </c>
      <c r="I90" s="2" t="s">
        <v>270</v>
      </c>
      <c r="J90" s="2" t="s">
        <v>20</v>
      </c>
      <c r="K90" s="2"/>
      <c r="L90" s="2">
        <v>0</v>
      </c>
      <c r="M90" s="2">
        <v>0</v>
      </c>
      <c r="N90" s="2"/>
    </row>
    <row r="91" spans="1:14" x14ac:dyDescent="0.35">
      <c r="A91" s="2">
        <v>90</v>
      </c>
      <c r="B91" s="2">
        <v>14</v>
      </c>
      <c r="C91" s="2" t="s">
        <v>279</v>
      </c>
      <c r="D91" s="2" t="s">
        <v>280</v>
      </c>
      <c r="E91" s="2" t="s">
        <v>281</v>
      </c>
      <c r="F91" s="2" t="s">
        <v>282</v>
      </c>
      <c r="G91" s="2" t="s">
        <v>283</v>
      </c>
      <c r="H91" s="2" t="s">
        <v>284</v>
      </c>
      <c r="I91" s="2" t="s">
        <v>285</v>
      </c>
      <c r="J91" s="2" t="s">
        <v>20</v>
      </c>
      <c r="K91" s="2"/>
      <c r="L91" s="2">
        <v>0</v>
      </c>
      <c r="M91" s="2">
        <v>0</v>
      </c>
      <c r="N91" s="2"/>
    </row>
  </sheetData>
  <autoFilter ref="A1:N91" xr:uid="{00000000-0009-0000-0000-000000000000}"/>
  <conditionalFormatting sqref="J2:J91">
    <cfRule type="cellIs" dxfId="1" priority="1" operator="equal">
      <formula>"Done"</formula>
    </cfRule>
    <cfRule type="cellIs" dxfId="0" priority="2" operator="equal">
      <formula>"In Progress"</formula>
    </cfRule>
  </conditionalFormatting>
  <dataValidations count="1">
    <dataValidation type="list" sqref="J2:J91" xr:uid="{00000000-0002-0000-0000-000000000000}">
      <formula1>"Not Started,In Progress,Done,Skipped"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5" x14ac:dyDescent="0.35"/>
  <cols>
    <col min="1" max="1" width="32" customWidth="1"/>
    <col min="2" max="2" width="60" customWidth="1"/>
  </cols>
  <sheetData>
    <row r="1" spans="1:2" x14ac:dyDescent="0.35">
      <c r="A1" s="3" t="s">
        <v>371</v>
      </c>
      <c r="B1" s="4"/>
    </row>
    <row r="2" spans="1:2" x14ac:dyDescent="0.35">
      <c r="A2" s="3" t="s">
        <v>286</v>
      </c>
      <c r="B2" s="3" t="s">
        <v>287</v>
      </c>
    </row>
    <row r="3" spans="1:2" x14ac:dyDescent="0.35">
      <c r="A3" t="s">
        <v>288</v>
      </c>
      <c r="B3">
        <v>90</v>
      </c>
    </row>
    <row r="4" spans="1:2" x14ac:dyDescent="0.35">
      <c r="A4" t="s">
        <v>289</v>
      </c>
      <c r="B4">
        <f>COUNTIF('Daily Tracker'!J2:J91,"Done")</f>
        <v>0</v>
      </c>
    </row>
    <row r="5" spans="1:2" x14ac:dyDescent="0.35">
      <c r="A5" t="s">
        <v>290</v>
      </c>
      <c r="B5">
        <f>COUNTIF('Daily Tracker'!J2:J91,"In Progress")</f>
        <v>0</v>
      </c>
    </row>
    <row r="6" spans="1:2" x14ac:dyDescent="0.35">
      <c r="A6" t="s">
        <v>20</v>
      </c>
      <c r="B6">
        <f>COUNTIF('Daily Tracker'!J2:J91,"Not Started")</f>
        <v>90</v>
      </c>
    </row>
    <row r="7" spans="1:2" x14ac:dyDescent="0.35">
      <c r="A7" t="s">
        <v>291</v>
      </c>
      <c r="B7">
        <f>SUM('Daily Tracker'!K2:K91)</f>
        <v>0</v>
      </c>
    </row>
    <row r="8" spans="1:2" x14ac:dyDescent="0.35">
      <c r="A8" t="s">
        <v>292</v>
      </c>
      <c r="B8">
        <f>SUM('Daily Tracker'!L2:L91)</f>
        <v>0</v>
      </c>
    </row>
    <row r="9" spans="1:2" x14ac:dyDescent="0.35">
      <c r="A9" t="s">
        <v>293</v>
      </c>
      <c r="B9" s="5">
        <f>IF(B3=0,0,B4/B3)</f>
        <v>0</v>
      </c>
    </row>
    <row r="10" spans="1:2" x14ac:dyDescent="0.35">
      <c r="A10" t="s">
        <v>294</v>
      </c>
      <c r="B10">
        <v>160</v>
      </c>
    </row>
    <row r="11" spans="1:2" x14ac:dyDescent="0.35">
      <c r="A11" t="s">
        <v>295</v>
      </c>
      <c r="B11">
        <v>450</v>
      </c>
    </row>
    <row r="12" spans="1:2" x14ac:dyDescent="0.35">
      <c r="A12" t="s">
        <v>296</v>
      </c>
      <c r="B12">
        <v>4</v>
      </c>
    </row>
    <row r="14" spans="1:2" x14ac:dyDescent="0.35">
      <c r="A14" t="s">
        <v>297</v>
      </c>
      <c r="B14" t="s">
        <v>298</v>
      </c>
    </row>
    <row r="15" spans="1:2" x14ac:dyDescent="0.35">
      <c r="A15" t="s">
        <v>299</v>
      </c>
      <c r="B15" t="s">
        <v>300</v>
      </c>
    </row>
    <row r="16" spans="1:2" x14ac:dyDescent="0.35">
      <c r="A16" t="s">
        <v>301</v>
      </c>
      <c r="B16" t="s">
        <v>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41"/>
  <sheetViews>
    <sheetView tabSelected="1" workbookViewId="0">
      <pane ySplit="1" topLeftCell="A27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3" width="14" customWidth="1"/>
    <col min="4" max="4" width="12" customWidth="1"/>
    <col min="5" max="5" width="18" customWidth="1"/>
    <col min="6" max="7" width="14" customWidth="1"/>
    <col min="8" max="8" width="18" customWidth="1"/>
  </cols>
  <sheetData>
    <row r="1" spans="1:8" x14ac:dyDescent="0.35">
      <c r="A1" s="3" t="s">
        <v>303</v>
      </c>
      <c r="B1" s="3" t="s">
        <v>304</v>
      </c>
      <c r="C1" s="3" t="s">
        <v>305</v>
      </c>
      <c r="D1" s="3" t="s">
        <v>306</v>
      </c>
      <c r="E1" s="3" t="s">
        <v>307</v>
      </c>
      <c r="F1" s="3" t="s">
        <v>308</v>
      </c>
      <c r="G1" s="3" t="s">
        <v>309</v>
      </c>
      <c r="H1" s="3" t="s">
        <v>310</v>
      </c>
    </row>
    <row r="2" spans="1:8" hidden="1" x14ac:dyDescent="0.35">
      <c r="A2" t="s">
        <v>311</v>
      </c>
      <c r="B2" t="s">
        <v>312</v>
      </c>
      <c r="C2" t="s">
        <v>313</v>
      </c>
      <c r="D2" t="s">
        <v>314</v>
      </c>
      <c r="E2">
        <v>3</v>
      </c>
      <c r="F2" t="s">
        <v>314</v>
      </c>
      <c r="G2" t="s">
        <v>314</v>
      </c>
      <c r="H2" t="s">
        <v>314</v>
      </c>
    </row>
    <row r="3" spans="1:8" hidden="1" x14ac:dyDescent="0.35">
      <c r="A3" t="s">
        <v>311</v>
      </c>
      <c r="B3" t="s">
        <v>315</v>
      </c>
      <c r="C3" t="s">
        <v>313</v>
      </c>
      <c r="D3" t="s">
        <v>314</v>
      </c>
      <c r="E3">
        <v>3</v>
      </c>
      <c r="F3" t="s">
        <v>314</v>
      </c>
      <c r="G3" t="s">
        <v>314</v>
      </c>
      <c r="H3" t="s">
        <v>314</v>
      </c>
    </row>
    <row r="4" spans="1:8" hidden="1" x14ac:dyDescent="0.35">
      <c r="A4" t="s">
        <v>311</v>
      </c>
      <c r="B4" t="s">
        <v>316</v>
      </c>
      <c r="C4" t="s">
        <v>313</v>
      </c>
      <c r="D4" t="s">
        <v>314</v>
      </c>
      <c r="E4">
        <v>3</v>
      </c>
      <c r="F4" t="s">
        <v>314</v>
      </c>
      <c r="G4" t="s">
        <v>314</v>
      </c>
      <c r="H4" t="s">
        <v>314</v>
      </c>
    </row>
    <row r="5" spans="1:8" hidden="1" x14ac:dyDescent="0.35">
      <c r="A5" t="s">
        <v>311</v>
      </c>
      <c r="B5" t="s">
        <v>317</v>
      </c>
      <c r="C5" t="s">
        <v>313</v>
      </c>
      <c r="D5" t="s">
        <v>314</v>
      </c>
      <c r="E5">
        <v>3</v>
      </c>
      <c r="F5" t="s">
        <v>314</v>
      </c>
      <c r="G5" t="s">
        <v>314</v>
      </c>
      <c r="H5" t="s">
        <v>314</v>
      </c>
    </row>
    <row r="6" spans="1:8" hidden="1" x14ac:dyDescent="0.35">
      <c r="A6" t="s">
        <v>311</v>
      </c>
      <c r="B6" t="s">
        <v>318</v>
      </c>
      <c r="C6" t="s">
        <v>313</v>
      </c>
      <c r="D6" t="s">
        <v>314</v>
      </c>
      <c r="E6">
        <v>3</v>
      </c>
      <c r="F6" t="s">
        <v>314</v>
      </c>
      <c r="G6" t="s">
        <v>314</v>
      </c>
      <c r="H6" t="s">
        <v>314</v>
      </c>
    </row>
    <row r="7" spans="1:8" hidden="1" x14ac:dyDescent="0.35">
      <c r="A7" t="s">
        <v>311</v>
      </c>
      <c r="B7" t="s">
        <v>319</v>
      </c>
      <c r="C7" t="s">
        <v>313</v>
      </c>
      <c r="D7" t="s">
        <v>314</v>
      </c>
      <c r="E7">
        <v>3</v>
      </c>
      <c r="F7" t="s">
        <v>314</v>
      </c>
      <c r="G7" t="s">
        <v>314</v>
      </c>
      <c r="H7" t="s">
        <v>314</v>
      </c>
    </row>
    <row r="8" spans="1:8" hidden="1" x14ac:dyDescent="0.35">
      <c r="A8" t="s">
        <v>311</v>
      </c>
      <c r="B8" t="s">
        <v>72</v>
      </c>
      <c r="C8" t="s">
        <v>313</v>
      </c>
      <c r="D8" t="s">
        <v>314</v>
      </c>
      <c r="E8">
        <v>3</v>
      </c>
      <c r="F8" t="s">
        <v>314</v>
      </c>
      <c r="G8" t="s">
        <v>314</v>
      </c>
      <c r="H8" t="s">
        <v>314</v>
      </c>
    </row>
    <row r="9" spans="1:8" hidden="1" x14ac:dyDescent="0.35">
      <c r="A9" t="s">
        <v>311</v>
      </c>
      <c r="B9" t="s">
        <v>320</v>
      </c>
      <c r="C9" t="s">
        <v>313</v>
      </c>
      <c r="D9" t="s">
        <v>314</v>
      </c>
      <c r="E9">
        <v>3</v>
      </c>
      <c r="F9" t="s">
        <v>314</v>
      </c>
      <c r="G9" t="s">
        <v>314</v>
      </c>
      <c r="H9" t="s">
        <v>314</v>
      </c>
    </row>
    <row r="10" spans="1:8" hidden="1" x14ac:dyDescent="0.35">
      <c r="A10" t="s">
        <v>311</v>
      </c>
      <c r="B10" t="s">
        <v>321</v>
      </c>
      <c r="C10" t="s">
        <v>313</v>
      </c>
      <c r="D10" t="s">
        <v>314</v>
      </c>
      <c r="E10">
        <v>3</v>
      </c>
      <c r="F10" t="s">
        <v>314</v>
      </c>
      <c r="G10" t="s">
        <v>314</v>
      </c>
      <c r="H10" t="s">
        <v>314</v>
      </c>
    </row>
    <row r="11" spans="1:8" hidden="1" x14ac:dyDescent="0.35">
      <c r="A11" t="s">
        <v>311</v>
      </c>
      <c r="B11" t="s">
        <v>322</v>
      </c>
      <c r="C11" t="s">
        <v>313</v>
      </c>
      <c r="D11" t="s">
        <v>314</v>
      </c>
      <c r="E11">
        <v>3</v>
      </c>
      <c r="F11" t="s">
        <v>314</v>
      </c>
      <c r="G11" t="s">
        <v>314</v>
      </c>
      <c r="H11" t="s">
        <v>314</v>
      </c>
    </row>
    <row r="12" spans="1:8" hidden="1" x14ac:dyDescent="0.35">
      <c r="A12" t="s">
        <v>311</v>
      </c>
      <c r="B12" t="s">
        <v>323</v>
      </c>
      <c r="C12" t="s">
        <v>313</v>
      </c>
      <c r="D12" t="s">
        <v>314</v>
      </c>
      <c r="E12">
        <v>3</v>
      </c>
      <c r="F12" t="s">
        <v>314</v>
      </c>
      <c r="G12" t="s">
        <v>314</v>
      </c>
      <c r="H12" t="s">
        <v>314</v>
      </c>
    </row>
    <row r="13" spans="1:8" hidden="1" x14ac:dyDescent="0.35">
      <c r="A13" t="s">
        <v>311</v>
      </c>
      <c r="B13" t="s">
        <v>324</v>
      </c>
      <c r="C13" t="s">
        <v>325</v>
      </c>
      <c r="D13" t="s">
        <v>314</v>
      </c>
      <c r="E13">
        <v>3</v>
      </c>
      <c r="F13" t="s">
        <v>314</v>
      </c>
      <c r="G13" t="s">
        <v>314</v>
      </c>
      <c r="H13" t="s">
        <v>314</v>
      </c>
    </row>
    <row r="14" spans="1:8" hidden="1" x14ac:dyDescent="0.35">
      <c r="A14" t="s">
        <v>311</v>
      </c>
      <c r="B14" t="s">
        <v>326</v>
      </c>
      <c r="C14" t="s">
        <v>325</v>
      </c>
      <c r="D14" t="s">
        <v>314</v>
      </c>
      <c r="E14">
        <v>3</v>
      </c>
      <c r="F14" t="s">
        <v>314</v>
      </c>
      <c r="G14" t="s">
        <v>314</v>
      </c>
      <c r="H14" t="s">
        <v>314</v>
      </c>
    </row>
    <row r="15" spans="1:8" hidden="1" x14ac:dyDescent="0.35">
      <c r="A15" t="s">
        <v>327</v>
      </c>
      <c r="B15" t="s">
        <v>328</v>
      </c>
      <c r="C15" t="s">
        <v>313</v>
      </c>
      <c r="D15" t="s">
        <v>314</v>
      </c>
      <c r="E15">
        <v>3</v>
      </c>
      <c r="F15" t="s">
        <v>314</v>
      </c>
      <c r="G15" t="s">
        <v>314</v>
      </c>
      <c r="H15" t="s">
        <v>314</v>
      </c>
    </row>
    <row r="16" spans="1:8" hidden="1" x14ac:dyDescent="0.35">
      <c r="A16" t="s">
        <v>327</v>
      </c>
      <c r="B16" t="s">
        <v>329</v>
      </c>
      <c r="C16" t="s">
        <v>313</v>
      </c>
      <c r="D16" t="s">
        <v>314</v>
      </c>
      <c r="E16">
        <v>3</v>
      </c>
      <c r="F16" t="s">
        <v>314</v>
      </c>
      <c r="G16" t="s">
        <v>314</v>
      </c>
      <c r="H16" t="s">
        <v>314</v>
      </c>
    </row>
    <row r="17" spans="1:8" hidden="1" x14ac:dyDescent="0.35">
      <c r="A17" t="s">
        <v>327</v>
      </c>
      <c r="B17" t="s">
        <v>115</v>
      </c>
      <c r="C17" t="s">
        <v>313</v>
      </c>
      <c r="D17" t="s">
        <v>314</v>
      </c>
      <c r="E17">
        <v>3</v>
      </c>
      <c r="F17" t="s">
        <v>314</v>
      </c>
      <c r="G17" t="s">
        <v>314</v>
      </c>
      <c r="H17" t="s">
        <v>314</v>
      </c>
    </row>
    <row r="18" spans="1:8" hidden="1" x14ac:dyDescent="0.35">
      <c r="A18" t="s">
        <v>327</v>
      </c>
      <c r="B18" t="s">
        <v>330</v>
      </c>
      <c r="C18" t="s">
        <v>325</v>
      </c>
      <c r="D18" t="s">
        <v>314</v>
      </c>
      <c r="E18">
        <v>3</v>
      </c>
      <c r="F18" t="s">
        <v>314</v>
      </c>
      <c r="G18" t="s">
        <v>314</v>
      </c>
      <c r="H18" t="s">
        <v>314</v>
      </c>
    </row>
    <row r="19" spans="1:8" hidden="1" x14ac:dyDescent="0.35">
      <c r="A19" t="s">
        <v>327</v>
      </c>
      <c r="B19" t="s">
        <v>331</v>
      </c>
      <c r="C19" t="s">
        <v>325</v>
      </c>
      <c r="D19" t="s">
        <v>314</v>
      </c>
      <c r="E19">
        <v>3</v>
      </c>
      <c r="F19" t="s">
        <v>314</v>
      </c>
      <c r="G19" t="s">
        <v>314</v>
      </c>
      <c r="H19" t="s">
        <v>314</v>
      </c>
    </row>
    <row r="20" spans="1:8" hidden="1" x14ac:dyDescent="0.35">
      <c r="A20" t="s">
        <v>332</v>
      </c>
      <c r="B20" t="s">
        <v>333</v>
      </c>
      <c r="C20" t="s">
        <v>313</v>
      </c>
      <c r="D20" t="s">
        <v>314</v>
      </c>
      <c r="E20">
        <v>3</v>
      </c>
      <c r="F20" t="s">
        <v>314</v>
      </c>
      <c r="G20" t="s">
        <v>314</v>
      </c>
      <c r="H20" t="s">
        <v>314</v>
      </c>
    </row>
    <row r="21" spans="1:8" hidden="1" x14ac:dyDescent="0.35">
      <c r="A21" t="s">
        <v>332</v>
      </c>
      <c r="B21" t="s">
        <v>334</v>
      </c>
      <c r="C21" t="s">
        <v>313</v>
      </c>
      <c r="D21" t="s">
        <v>314</v>
      </c>
      <c r="E21">
        <v>3</v>
      </c>
      <c r="F21" t="s">
        <v>314</v>
      </c>
      <c r="G21" t="s">
        <v>314</v>
      </c>
      <c r="H21" t="s">
        <v>314</v>
      </c>
    </row>
    <row r="22" spans="1:8" hidden="1" x14ac:dyDescent="0.35">
      <c r="A22" t="s">
        <v>332</v>
      </c>
      <c r="B22" t="s">
        <v>335</v>
      </c>
      <c r="C22" t="s">
        <v>313</v>
      </c>
      <c r="D22" t="s">
        <v>314</v>
      </c>
      <c r="E22">
        <v>3</v>
      </c>
      <c r="F22" t="s">
        <v>314</v>
      </c>
      <c r="G22" t="s">
        <v>314</v>
      </c>
      <c r="H22" t="s">
        <v>314</v>
      </c>
    </row>
    <row r="23" spans="1:8" hidden="1" x14ac:dyDescent="0.35">
      <c r="A23" t="s">
        <v>336</v>
      </c>
      <c r="B23" t="s">
        <v>337</v>
      </c>
      <c r="C23" t="s">
        <v>313</v>
      </c>
      <c r="D23" t="s">
        <v>314</v>
      </c>
      <c r="E23">
        <v>3</v>
      </c>
      <c r="F23" t="s">
        <v>314</v>
      </c>
      <c r="G23" t="s">
        <v>314</v>
      </c>
      <c r="H23" t="s">
        <v>314</v>
      </c>
    </row>
    <row r="24" spans="1:8" hidden="1" x14ac:dyDescent="0.35">
      <c r="A24" t="s">
        <v>336</v>
      </c>
      <c r="B24" t="s">
        <v>338</v>
      </c>
      <c r="C24" t="s">
        <v>313</v>
      </c>
      <c r="D24" t="s">
        <v>314</v>
      </c>
      <c r="E24">
        <v>3</v>
      </c>
      <c r="F24" t="s">
        <v>314</v>
      </c>
      <c r="G24" t="s">
        <v>314</v>
      </c>
      <c r="H24" t="s">
        <v>314</v>
      </c>
    </row>
    <row r="25" spans="1:8" hidden="1" x14ac:dyDescent="0.35">
      <c r="A25" t="s">
        <v>336</v>
      </c>
      <c r="B25" t="s">
        <v>339</v>
      </c>
      <c r="C25" t="s">
        <v>313</v>
      </c>
      <c r="D25" t="s">
        <v>314</v>
      </c>
      <c r="E25">
        <v>3</v>
      </c>
      <c r="F25" t="s">
        <v>314</v>
      </c>
      <c r="G25" t="s">
        <v>314</v>
      </c>
      <c r="H25" t="s">
        <v>314</v>
      </c>
    </row>
    <row r="26" spans="1:8" hidden="1" x14ac:dyDescent="0.35">
      <c r="A26" t="s">
        <v>336</v>
      </c>
      <c r="B26" t="s">
        <v>340</v>
      </c>
      <c r="C26" t="s">
        <v>313</v>
      </c>
      <c r="D26" t="s">
        <v>314</v>
      </c>
      <c r="E26">
        <v>3</v>
      </c>
      <c r="F26" t="s">
        <v>314</v>
      </c>
      <c r="G26" t="s">
        <v>314</v>
      </c>
      <c r="H26" t="s">
        <v>314</v>
      </c>
    </row>
    <row r="27" spans="1:8" x14ac:dyDescent="0.35">
      <c r="A27" t="s">
        <v>341</v>
      </c>
      <c r="B27" t="s">
        <v>342</v>
      </c>
      <c r="C27" t="s">
        <v>313</v>
      </c>
      <c r="D27" t="s">
        <v>314</v>
      </c>
      <c r="E27">
        <v>3</v>
      </c>
      <c r="F27" t="s">
        <v>314</v>
      </c>
      <c r="G27" t="s">
        <v>314</v>
      </c>
      <c r="H27" t="s">
        <v>314</v>
      </c>
    </row>
    <row r="28" spans="1:8" x14ac:dyDescent="0.35">
      <c r="A28" t="s">
        <v>341</v>
      </c>
      <c r="B28" t="s">
        <v>343</v>
      </c>
      <c r="C28" t="s">
        <v>313</v>
      </c>
      <c r="D28" t="s">
        <v>314</v>
      </c>
      <c r="E28">
        <v>3</v>
      </c>
      <c r="F28" t="s">
        <v>314</v>
      </c>
      <c r="G28" t="s">
        <v>314</v>
      </c>
      <c r="H28" t="s">
        <v>314</v>
      </c>
    </row>
    <row r="29" spans="1:8" x14ac:dyDescent="0.35">
      <c r="A29" t="s">
        <v>344</v>
      </c>
      <c r="B29" t="s">
        <v>345</v>
      </c>
      <c r="C29" t="s">
        <v>313</v>
      </c>
      <c r="D29" t="s">
        <v>314</v>
      </c>
      <c r="E29">
        <v>3</v>
      </c>
      <c r="F29" t="s">
        <v>314</v>
      </c>
      <c r="G29" t="s">
        <v>314</v>
      </c>
      <c r="H29" t="s">
        <v>314</v>
      </c>
    </row>
    <row r="30" spans="1:8" x14ac:dyDescent="0.35">
      <c r="A30" t="s">
        <v>344</v>
      </c>
      <c r="B30" t="s">
        <v>346</v>
      </c>
      <c r="C30" t="s">
        <v>313</v>
      </c>
      <c r="D30" t="s">
        <v>314</v>
      </c>
      <c r="E30">
        <v>3</v>
      </c>
      <c r="F30" t="s">
        <v>314</v>
      </c>
      <c r="G30" t="s">
        <v>314</v>
      </c>
      <c r="H30" t="s">
        <v>314</v>
      </c>
    </row>
    <row r="31" spans="1:8" x14ac:dyDescent="0.35">
      <c r="A31" t="s">
        <v>344</v>
      </c>
      <c r="B31" t="s">
        <v>347</v>
      </c>
      <c r="C31" t="s">
        <v>313</v>
      </c>
      <c r="D31" t="s">
        <v>314</v>
      </c>
      <c r="E31">
        <v>3</v>
      </c>
      <c r="F31" t="s">
        <v>314</v>
      </c>
      <c r="G31" t="s">
        <v>314</v>
      </c>
      <c r="H31" t="s">
        <v>314</v>
      </c>
    </row>
    <row r="32" spans="1:8" x14ac:dyDescent="0.35">
      <c r="A32" t="s">
        <v>348</v>
      </c>
      <c r="B32" t="s">
        <v>349</v>
      </c>
      <c r="C32" t="s">
        <v>313</v>
      </c>
      <c r="D32" t="s">
        <v>314</v>
      </c>
      <c r="E32">
        <v>3</v>
      </c>
      <c r="F32" t="s">
        <v>314</v>
      </c>
      <c r="G32" t="s">
        <v>314</v>
      </c>
      <c r="H32" t="s">
        <v>314</v>
      </c>
    </row>
    <row r="33" spans="1:8" x14ac:dyDescent="0.35">
      <c r="A33" t="s">
        <v>348</v>
      </c>
      <c r="B33" t="s">
        <v>350</v>
      </c>
      <c r="C33" t="s">
        <v>313</v>
      </c>
      <c r="D33" t="s">
        <v>314</v>
      </c>
      <c r="E33">
        <v>3</v>
      </c>
      <c r="F33" t="s">
        <v>314</v>
      </c>
      <c r="G33" t="s">
        <v>314</v>
      </c>
      <c r="H33" t="s">
        <v>314</v>
      </c>
    </row>
    <row r="34" spans="1:8" x14ac:dyDescent="0.35">
      <c r="A34" t="s">
        <v>348</v>
      </c>
      <c r="B34" t="s">
        <v>351</v>
      </c>
      <c r="C34" t="s">
        <v>313</v>
      </c>
      <c r="D34" t="s">
        <v>314</v>
      </c>
      <c r="E34">
        <v>3</v>
      </c>
      <c r="F34" t="s">
        <v>314</v>
      </c>
      <c r="G34" t="s">
        <v>314</v>
      </c>
      <c r="H34" t="s">
        <v>314</v>
      </c>
    </row>
    <row r="35" spans="1:8" x14ac:dyDescent="0.35">
      <c r="A35" t="s">
        <v>348</v>
      </c>
      <c r="B35" t="s">
        <v>352</v>
      </c>
      <c r="C35" t="s">
        <v>313</v>
      </c>
      <c r="D35" t="s">
        <v>314</v>
      </c>
      <c r="E35">
        <v>3</v>
      </c>
      <c r="F35" t="s">
        <v>314</v>
      </c>
      <c r="G35" t="s">
        <v>314</v>
      </c>
      <c r="H35" t="s">
        <v>314</v>
      </c>
    </row>
    <row r="36" spans="1:8" x14ac:dyDescent="0.35">
      <c r="A36" t="s">
        <v>353</v>
      </c>
      <c r="B36" t="s">
        <v>354</v>
      </c>
      <c r="C36" t="s">
        <v>313</v>
      </c>
      <c r="D36" t="s">
        <v>314</v>
      </c>
      <c r="E36">
        <v>3</v>
      </c>
      <c r="F36" t="s">
        <v>314</v>
      </c>
      <c r="G36" t="s">
        <v>314</v>
      </c>
      <c r="H36" t="s">
        <v>314</v>
      </c>
    </row>
    <row r="37" spans="1:8" x14ac:dyDescent="0.35">
      <c r="A37" t="s">
        <v>353</v>
      </c>
      <c r="B37" t="s">
        <v>355</v>
      </c>
      <c r="C37" t="s">
        <v>313</v>
      </c>
      <c r="D37" t="s">
        <v>314</v>
      </c>
      <c r="E37">
        <v>3</v>
      </c>
      <c r="F37" t="s">
        <v>314</v>
      </c>
      <c r="G37" t="s">
        <v>314</v>
      </c>
      <c r="H37" t="s">
        <v>314</v>
      </c>
    </row>
    <row r="38" spans="1:8" x14ac:dyDescent="0.35">
      <c r="A38" t="s">
        <v>353</v>
      </c>
      <c r="B38" t="s">
        <v>356</v>
      </c>
      <c r="C38" t="s">
        <v>313</v>
      </c>
      <c r="D38" t="s">
        <v>314</v>
      </c>
      <c r="E38">
        <v>3</v>
      </c>
      <c r="F38" t="s">
        <v>314</v>
      </c>
      <c r="G38" t="s">
        <v>314</v>
      </c>
      <c r="H38" t="s">
        <v>314</v>
      </c>
    </row>
    <row r="39" spans="1:8" x14ac:dyDescent="0.35">
      <c r="A39" t="s">
        <v>357</v>
      </c>
      <c r="B39" t="s">
        <v>358</v>
      </c>
      <c r="C39" t="s">
        <v>359</v>
      </c>
      <c r="D39" t="s">
        <v>314</v>
      </c>
      <c r="E39">
        <v>3</v>
      </c>
      <c r="F39" t="s">
        <v>314</v>
      </c>
      <c r="G39" t="s">
        <v>314</v>
      </c>
      <c r="H39" t="s">
        <v>314</v>
      </c>
    </row>
    <row r="40" spans="1:8" x14ac:dyDescent="0.35">
      <c r="A40" t="s">
        <v>357</v>
      </c>
      <c r="B40" t="s">
        <v>360</v>
      </c>
      <c r="C40" t="s">
        <v>359</v>
      </c>
      <c r="D40" t="s">
        <v>314</v>
      </c>
      <c r="E40">
        <v>3</v>
      </c>
      <c r="F40" t="s">
        <v>314</v>
      </c>
      <c r="G40" t="s">
        <v>314</v>
      </c>
      <c r="H40" t="s">
        <v>314</v>
      </c>
    </row>
    <row r="41" spans="1:8" x14ac:dyDescent="0.35">
      <c r="A41" t="s">
        <v>357</v>
      </c>
      <c r="B41" t="s">
        <v>361</v>
      </c>
      <c r="C41" t="s">
        <v>359</v>
      </c>
      <c r="D41" t="s">
        <v>314</v>
      </c>
      <c r="E41">
        <v>3</v>
      </c>
      <c r="F41" t="s">
        <v>314</v>
      </c>
      <c r="G41" t="s">
        <v>314</v>
      </c>
      <c r="H41" t="s">
        <v>314</v>
      </c>
    </row>
  </sheetData>
  <autoFilter ref="A1:H41" xr:uid="{00000000-0009-0000-0000-000002000000}">
    <filterColumn colId="0">
      <filters>
        <filter val="Cloud"/>
        <filter val="CS"/>
        <filter val="Distributed"/>
        <filter val="HLD"/>
        <filter val="LLD"/>
      </filters>
    </filterColumn>
  </autoFilter>
  <dataValidations count="2">
    <dataValidation type="list" sqref="D2:D42" xr:uid="{00000000-0002-0000-0200-000000000000}">
      <formula1>"No,Yes,Partial"</formula1>
    </dataValidation>
    <dataValidation type="list" sqref="H2:H42" xr:uid="{00000000-0002-0000-0200-000001000000}">
      <formula1>"No,Yes"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4.5" x14ac:dyDescent="0.35"/>
  <cols>
    <col min="1" max="1" width="110" customWidth="1"/>
  </cols>
  <sheetData>
    <row r="1" spans="1:1" x14ac:dyDescent="0.35">
      <c r="A1" s="2" t="s">
        <v>362</v>
      </c>
    </row>
    <row r="2" spans="1:1" x14ac:dyDescent="0.35">
      <c r="A2" s="2" t="s">
        <v>363</v>
      </c>
    </row>
    <row r="3" spans="1:1" x14ac:dyDescent="0.35">
      <c r="A3" s="2" t="s">
        <v>364</v>
      </c>
    </row>
    <row r="4" spans="1:1" x14ac:dyDescent="0.35">
      <c r="A4" s="2" t="s">
        <v>365</v>
      </c>
    </row>
    <row r="5" spans="1:1" x14ac:dyDescent="0.35">
      <c r="A5" s="2" t="s">
        <v>366</v>
      </c>
    </row>
    <row r="6" spans="1:1" x14ac:dyDescent="0.35">
      <c r="A6" s="2" t="s">
        <v>367</v>
      </c>
    </row>
    <row r="7" spans="1:1" x14ac:dyDescent="0.35">
      <c r="A7" s="2" t="s">
        <v>368</v>
      </c>
    </row>
    <row r="8" spans="1:1" x14ac:dyDescent="0.35">
      <c r="A8" s="2" t="s">
        <v>369</v>
      </c>
    </row>
    <row r="9" spans="1:1" x14ac:dyDescent="0.35">
      <c r="A9" s="2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Tracker</vt:lpstr>
      <vt:lpstr>Dashboard</vt:lpstr>
      <vt:lpstr>Topic Checklist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Sreenivas Reddy Daram</cp:lastModifiedBy>
  <dcterms:created xsi:type="dcterms:W3CDTF">2026-09-07T17:54:32Z</dcterms:created>
  <dcterms:modified xsi:type="dcterms:W3CDTF">2026-10-10T12:08:44Z</dcterms:modified>
</cp:coreProperties>
</file>